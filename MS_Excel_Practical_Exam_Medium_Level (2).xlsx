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24\Desktop\Vinayak\"/>
    </mc:Choice>
  </mc:AlternateContent>
  <xr:revisionPtr revIDLastSave="0" documentId="13_ncr:1_{3A6CBB70-0DCA-4BC4-A561-7983A3D03BF7}" xr6:coauthVersionLast="47" xr6:coauthVersionMax="47" xr10:uidLastSave="{00000000-0000-0000-0000-000000000000}"/>
  <bookViews>
    <workbookView xWindow="-120" yWindow="-120" windowWidth="20730" windowHeight="11040" firstSheet="2" activeTab="7" xr2:uid="{00000000-000D-0000-FFFF-FFFF00000000}"/>
  </bookViews>
  <sheets>
    <sheet name="Instructions" sheetId="1" r:id="rId1"/>
    <sheet name="Sales_Data" sheetId="2" r:id="rId2"/>
    <sheet name="Product_Master" sheetId="3" r:id="rId3"/>
    <sheet name="Student_pivot" sheetId="8" r:id="rId4"/>
    <sheet name="Student_Marks" sheetId="4" r:id="rId5"/>
    <sheet name="Sales_2" sheetId="6" r:id="rId6"/>
    <sheet name="Sales Pivot" sheetId="7" r:id="rId7"/>
    <sheet name="Questions" sheetId="5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" i="6" l="1"/>
  <c r="L3" i="6"/>
  <c r="L4" i="6"/>
  <c r="L5" i="6"/>
  <c r="L6" i="6"/>
  <c r="L7" i="6"/>
  <c r="M10" i="4"/>
  <c r="H7" i="2"/>
  <c r="H6" i="2"/>
  <c r="H5" i="2"/>
  <c r="H4" i="2"/>
  <c r="H3" i="2"/>
  <c r="H2" i="2"/>
  <c r="H40" i="6"/>
  <c r="H41" i="6"/>
  <c r="H42" i="6"/>
  <c r="H43" i="6"/>
  <c r="H44" i="6"/>
  <c r="H45" i="6"/>
  <c r="P5" i="6"/>
  <c r="C3" i="4"/>
  <c r="C4" i="4"/>
  <c r="C5" i="4"/>
  <c r="C6" i="4"/>
  <c r="C2" i="4"/>
  <c r="M7" i="4"/>
  <c r="M3" i="4"/>
  <c r="H3" i="4"/>
  <c r="I3" i="4" s="1"/>
  <c r="H4" i="4"/>
  <c r="I4" i="4" s="1"/>
  <c r="H5" i="4"/>
  <c r="I5" i="4" s="1"/>
  <c r="H6" i="4"/>
  <c r="I6" i="4" s="1"/>
  <c r="H2" i="4"/>
  <c r="I2" i="4" s="1"/>
  <c r="F3" i="6"/>
  <c r="F4" i="6"/>
  <c r="F5" i="6"/>
  <c r="F6" i="6"/>
  <c r="V6" i="6" s="1"/>
  <c r="F7" i="6"/>
  <c r="F2" i="6"/>
  <c r="Q10" i="6"/>
  <c r="J3" i="6"/>
  <c r="J4" i="6"/>
  <c r="J5" i="6"/>
  <c r="J6" i="6"/>
  <c r="J7" i="6"/>
  <c r="J2" i="6"/>
  <c r="I7" i="6"/>
  <c r="I6" i="6"/>
  <c r="I5" i="6"/>
  <c r="S15" i="6" s="1"/>
  <c r="I4" i="6"/>
  <c r="R15" i="6" s="1"/>
  <c r="I3" i="6"/>
  <c r="I2" i="6"/>
  <c r="J32" i="5"/>
  <c r="P15" i="6" l="1"/>
  <c r="Q15" i="6"/>
  <c r="J4" i="4"/>
  <c r="J3" i="4" s="1"/>
  <c r="K7" i="6"/>
  <c r="K6" i="6"/>
  <c r="K2" i="6"/>
  <c r="K5" i="6"/>
  <c r="K4" i="6"/>
  <c r="K3" i="6"/>
  <c r="A13" i="6" l="1" a="1"/>
  <c r="A13" i="6" s="1"/>
  <c r="V13" i="6"/>
  <c r="V14" i="6"/>
  <c r="K8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<sst xmlns="http://schemas.openxmlformats.org/spreadsheetml/2006/main" count="207" uniqueCount="101">
  <si>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</si>
  <si>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</si>
  <si>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</si>
  <si>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</si>
  <si>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</si>
  <si>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</si>
  <si>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</si>
  <si>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</si>
  <si>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</si>
  <si>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</si>
  <si>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</si>
  <si>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</si>
  <si>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</si>
  <si>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</si>
  <si>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</si>
  <si>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</si>
  <si>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</si>
  <si>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</si>
  <si>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</si>
  <si>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</si>
  <si>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</si>
  <si>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</si>
  <si>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</si>
  <si>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</si>
  <si>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</si>
  <si>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</si>
  <si>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</si>
  <si>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</si>
  <si>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</si>
  <si>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</si>
  <si>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</si>
  <si>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</si>
  <si>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</si>
  <si>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</si>
  <si>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</si>
  <si>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</si>
  <si>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</si>
  <si>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</si>
  <si>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</si>
  <si>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</si>
  <si>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</si>
  <si>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</si>
  <si>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</si>
  <si>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</si>
  <si>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</si>
  <si>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</si>
  <si>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</si>
  <si>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</si>
  <si>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</si>
  <si>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</si>
  <si>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</si>
  <si>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</si>
  <si>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</si>
  <si>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</si>
  <si>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</si>
  <si>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</si>
  <si>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</si>
  <si>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</si>
  <si>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</si>
  <si>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</si>
  <si>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</si>
  <si>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</si>
  <si>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</si>
  <si>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</si>
  <si>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</si>
  <si>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</si>
  <si>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</si>
  <si>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</si>
  <si>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</si>
  <si>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</si>
  <si>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</si>
  <si>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</si>
  <si>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</si>
  <si>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Total_Sales</t>
  </si>
  <si>
    <t>GST</t>
  </si>
  <si>
    <t>Payable_Amount</t>
  </si>
  <si>
    <t>Grand Total</t>
  </si>
  <si>
    <t>5_Total Orders</t>
  </si>
  <si>
    <t>4_Grand Total</t>
  </si>
  <si>
    <t>6_regional_sales</t>
  </si>
  <si>
    <t>Classify</t>
  </si>
  <si>
    <t>Max Amount</t>
  </si>
  <si>
    <t>Min Amount</t>
  </si>
  <si>
    <t>Average Marks</t>
  </si>
  <si>
    <t>Topper</t>
  </si>
  <si>
    <t>Student with above 90%</t>
  </si>
  <si>
    <t>Eligible</t>
  </si>
  <si>
    <t>Row Labels</t>
  </si>
  <si>
    <t>Sum of Total_Sales</t>
  </si>
  <si>
    <t>Product wise total Sales</t>
  </si>
  <si>
    <t>Region Wise Total Sales</t>
  </si>
  <si>
    <t>Median of Statistics marks</t>
  </si>
  <si>
    <t>Sum of Excel</t>
  </si>
  <si>
    <t>S.D of Excel Marks</t>
  </si>
  <si>
    <t>Concat</t>
  </si>
  <si>
    <t>Sort Table</t>
  </si>
  <si>
    <t xml:space="preserve">Extracting 2 charcters </t>
  </si>
  <si>
    <t>Highlight values&gt;</t>
  </si>
  <si>
    <t>(Multiple Items)</t>
  </si>
  <si>
    <t xml:space="preserve">26_Counitif 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</si>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</sst>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1" xfId="0" applyBorder="1"/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1" fillId="0" borderId="2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8" borderId="0" xfId="0" applyFill="1"/>
    <xf numFmtId="2" fontId="0" fillId="8" borderId="0" xfId="0" applyNumberFormat="1" applyFill="1"/>
  </cellXfs>
  <cellStyles count="1">
    <cellStyle name="Normal" xfId="0" builtinId="0"/>
  </cellStyles>
  <dxfs count="11"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19" formatCode="dd/mm/yyyy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(2).xlsx]Student_Marks!PivotTable3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Student_Marks!$N$13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Student_Marks!$M$14:$M$19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Student_Marks!$N$14:$N$19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4-43DD-9F06-4F97FB5A2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1292400"/>
        <c:axId val="671277008"/>
      </c:barChart>
      <c:catAx>
        <c:axId val="67129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77008"/>
        <c:crosses val="autoZero"/>
        <c:auto val="1"/>
        <c:lblAlgn val="ctr"/>
        <c:lblOffset val="100"/>
        <c:noMultiLvlLbl val="0"/>
      </c:catAx>
      <c:valAx>
        <c:axId val="67127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9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(2).xlsx]Sales_2!PivotTable1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Sales_2!$O$22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Sales_2!$N$23:$N$26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Sales_2!$O$23:$O$26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6-45C7-BEF9-67D112702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278256"/>
        <c:axId val="671277840"/>
      </c:barChart>
      <c:catAx>
        <c:axId val="6712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77840"/>
        <c:crosses val="autoZero"/>
        <c:auto val="1"/>
        <c:lblAlgn val="ctr"/>
        <c:lblOffset val="100"/>
        <c:noMultiLvlLbl val="0"/>
      </c:catAx>
      <c:valAx>
        <c:axId val="6712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20</xdr:row>
      <xdr:rowOff>76200</xdr:rowOff>
    </xdr:from>
    <xdr:to>
      <xdr:col>17</xdr:col>
      <xdr:colOff>142875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7B4879-311C-4602-94A6-E2DF0D05A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563562</xdr:colOff>
      <xdr:row>0</xdr:row>
      <xdr:rowOff>190499</xdr:rowOff>
    </xdr:from>
    <xdr:to>
      <xdr:col>13</xdr:col>
      <xdr:colOff>26988</xdr:colOff>
      <xdr:row>12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4210AD-8317-10F2-E47A-13035B744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2" refreshedDate="46166.658379166664" createdVersion="8" refreshedVersion="8" minRefreshableVersion="3" recordCount="5" xr:uid="{40E24698-7C74-4ED0-9ABF-163AAEE6122F}">
  <cacheSource type="worksheet">
    <worksheetSource ref="A1:I6" sheet="Student_Marks"/>
  </cacheSource>
  <cacheFields count="9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Concat" numFmtId="0">
      <sharedItems/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  <cacheField name="Average Marks" numFmtId="2">
      <sharedItems containsSemiMixedTypes="0" containsString="0" containsNumber="1" minValue="57.666666666666664" maxValue="91.666666666666671"/>
    </cacheField>
    <cacheField name="Eligib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2" refreshedDate="46166.658379282409" createdVersion="8" refreshedVersion="8" minRefreshableVersion="3" recordCount="6" xr:uid="{7B7516CD-78AD-41E3-B7B3-F0D821EAB989}">
  <cacheSource type="worksheet">
    <worksheetSource ref="A1:K7" sheet="Sales_2"/>
  </cacheSource>
  <cacheFields count="11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 count="5">
        <n v="2"/>
        <n v="5"/>
        <n v="3"/>
        <n v="1"/>
        <n v="4"/>
      </sharedItems>
    </cacheField>
    <cacheField name="Classify" numFmtId="0">
      <sharedItems/>
    </cacheField>
    <cacheField name="Unit_Price" numFmtId="0">
      <sharedItems containsSemiMixedTypes="0" containsString="0" containsNumber="1" containsInteger="1" minValue="15000" maxValue="45000"/>
    </cacheField>
    <cacheField name="Sales_Date" numFmtId="14">
      <sharedItems containsDate="1" containsMixedTypes="1" minDate="2025-01-05T00:00:00" maxDate="2025-01-06T00:00:00"/>
    </cacheField>
    <cacheField name="Total_Sales" numFmtId="0">
      <sharedItems containsSemiMixedTypes="0" containsString="0" containsNumber="1" containsInteger="1" minValue="45000" maxValue="90000"/>
    </cacheField>
    <cacheField name="GST" numFmtId="0">
      <sharedItems containsSemiMixedTypes="0" containsString="0" containsNumber="1" containsInteger="1" minValue="12" maxValue="18"/>
    </cacheField>
    <cacheField name="Payable_Amount" numFmtId="0">
      <sharedItems containsSemiMixedTypes="0" containsString="0" containsNumber="1" containsInteger="1" minValue="53100" maxValue="10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s v="1 Rahul"/>
    <n v="78"/>
    <n v="82"/>
    <n v="85"/>
    <n v="92"/>
    <n v="81.666666666666671"/>
    <s v="Not Eligible"/>
  </r>
  <r>
    <n v="2"/>
    <x v="1"/>
    <s v="2 Sneha"/>
    <n v="88"/>
    <n v="91"/>
    <n v="90"/>
    <n v="96"/>
    <n v="89.666666666666671"/>
    <s v="Eligible"/>
  </r>
  <r>
    <n v="3"/>
    <x v="2"/>
    <s v="3 Arjun"/>
    <n v="65"/>
    <n v="70"/>
    <n v="72"/>
    <n v="85"/>
    <n v="69"/>
    <s v="Not Eligible"/>
  </r>
  <r>
    <n v="4"/>
    <x v="3"/>
    <s v="4 Pooja"/>
    <n v="92"/>
    <n v="89"/>
    <n v="94"/>
    <n v="98"/>
    <n v="91.666666666666671"/>
    <s v="Eligible"/>
  </r>
  <r>
    <n v="5"/>
    <x v="4"/>
    <s v="5 Vikas"/>
    <n v="55"/>
    <n v="60"/>
    <n v="58"/>
    <n v="80"/>
    <n v="57.666666666666664"/>
    <s v="Not Eligib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x v="0"/>
    <s v="Low"/>
    <n v="45000"/>
    <d v="2025-01-05T00:00:00"/>
    <n v="90000"/>
    <n v="18"/>
    <n v="106200"/>
  </r>
  <r>
    <n v="302"/>
    <x v="1"/>
    <s v="Riya"/>
    <x v="1"/>
    <x v="1"/>
    <s v="High"/>
    <n v="15000"/>
    <s v="07-01-2025"/>
    <n v="75000"/>
    <n v="12"/>
    <n v="84000"/>
  </r>
  <r>
    <n v="303"/>
    <x v="2"/>
    <s v="Kunal"/>
    <x v="2"/>
    <x v="2"/>
    <s v="Low"/>
    <n v="18000"/>
    <s v="10-01-2025"/>
    <n v="54000"/>
    <n v="12"/>
    <n v="60480"/>
  </r>
  <r>
    <n v="304"/>
    <x v="3"/>
    <s v="Neha"/>
    <x v="0"/>
    <x v="3"/>
    <s v="Low"/>
    <n v="45000"/>
    <s v="12-01-2025"/>
    <n v="45000"/>
    <n v="18"/>
    <n v="53100"/>
  </r>
  <r>
    <n v="305"/>
    <x v="0"/>
    <s v="Amit"/>
    <x v="1"/>
    <x v="4"/>
    <s v="High"/>
    <n v="15000"/>
    <s v="15-01-2025"/>
    <n v="60000"/>
    <n v="12"/>
    <n v="67200"/>
  </r>
  <r>
    <n v="306"/>
    <x v="1"/>
    <s v="Riya"/>
    <x v="0"/>
    <x v="0"/>
    <s v="Low"/>
    <n v="45000"/>
    <s v="18-01-2025"/>
    <n v="90000"/>
    <n v="18"/>
    <n v="106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E48D8-E254-4500-9471-A6FFF9FE8D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13:N19" firstHeaderRow="1" firstDataRow="1" firstDataCol="1"/>
  <pivotFields count="9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numFmtId="2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5" baseField="0" baseItem="0"/>
  </dataFields>
  <formats count="6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82593-56A7-41DE-850B-101503F3B71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9:O34" firstHeaderRow="1" firstDataRow="1" firstDataCol="1"/>
  <pivotFields count="11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A6809-6D1B-4596-97D3-C219737CB86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22:O26" firstHeaderRow="1" firstDataRow="1" firstDataCol="1"/>
  <pivotFields count="1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64EEC-1272-4D78-ACFA-4806BE1FE0C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2:B16" firstHeaderRow="1" firstDataRow="1" firstDataCol="1" rowPageCount="1" colPageCount="1"/>
  <pivotFields count="1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6">
        <item h="1"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Sum of Total_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C158E0-65DD-4C9A-923E-E7768852686D}" name="SalesTable" displayName="SalesTable" ref="A1:L7" totalsRowShown="0">
  <autoFilter ref="A1:L7" xr:uid="{ADC158E0-65DD-4C9A-923E-E7768852686D}"/>
  <tableColumns count="12">
    <tableColumn id="1" xr3:uid="{861FC2D4-A30B-4375-A55C-A67253A5FDF3}" name="Order_ID"/>
    <tableColumn id="2" xr3:uid="{6B56CC38-A6B1-42B4-818D-B762DA7ACBDA}" name="Region"/>
    <tableColumn id="3" xr3:uid="{AA1D066A-CBFA-421C-8087-15124B560522}" name="Salesperson"/>
    <tableColumn id="4" xr3:uid="{BF1E80E3-7559-4616-9D7B-90CAED578E89}" name="Product"/>
    <tableColumn id="5" xr3:uid="{F7C8FF88-A900-46D8-9B6F-AD5123F81838}" name="Quantity"/>
    <tableColumn id="6" xr3:uid="{373D504F-035D-41BD-B4CC-6F5D3802EFBA}" name="Classify"/>
    <tableColumn id="7" xr3:uid="{B493D4C8-EAC0-494E-8ACB-4998B07087CF}" name="Unit_Price"/>
    <tableColumn id="8" xr3:uid="{0D0335BE-373A-40CA-B298-D1018591A633}" name="Sales_Date" dataDxfId="2"/>
    <tableColumn id="9" xr3:uid="{1EBDC95A-EC30-4115-867F-04CBA3A0503C}" name="Total_Sales">
      <calculatedColumnFormula>E2*G2</calculatedColumnFormula>
    </tableColumn>
    <tableColumn id="10" xr3:uid="{B2E055B2-64BE-4139-B2ED-A21365ED567E}" name="GST">
      <calculatedColumnFormula>VLOOKUP(D2,Product_Master!$A$2:$C$4,3,0)</calculatedColumnFormula>
    </tableColumn>
    <tableColumn id="11" xr3:uid="{E0FB2796-D4A0-4A64-8DA5-72E462F1FE46}" name="Payable_Amount">
      <calculatedColumnFormula>I2+(J2/100)*I2</calculatedColumnFormula>
    </tableColumn>
    <tableColumn id="12" xr3:uid="{8CA35F80-44D4-43BA-A5EF-F862749B72E8}" name="Month Name" dataDxfId="1">
      <calculatedColumnFormula>TEXT(SalesTable[[#This Row],[Sales_Date]],"mmmm")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C14" sqref="C14"/>
    </sheetView>
  </sheetViews>
  <sheetFormatPr defaultRowHeight="15" x14ac:dyDescent="0.25"/>
  <cols>
    <col min="6" max="6" width="10.140625" bestFit="1" customWidth="1"/>
    <col min="7" max="7" width="10.7109375" bestFit="1" customWidth="1"/>
  </cols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73</v>
      </c>
      <c r="I1" t="s">
        <v>28</v>
      </c>
    </row>
    <row r="2" spans="1:9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>
        <f t="shared" ref="H2:H7" si="0">E2*F2</f>
        <v>90000</v>
      </c>
    </row>
    <row r="3" spans="1:9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f t="shared" si="0"/>
        <v>75000</v>
      </c>
    </row>
    <row r="4" spans="1:9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f t="shared" si="0"/>
        <v>54000</v>
      </c>
    </row>
    <row r="5" spans="1:9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f t="shared" si="0"/>
        <v>45000</v>
      </c>
    </row>
    <row r="6" spans="1:9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f t="shared" si="0"/>
        <v>60000</v>
      </c>
    </row>
    <row r="7" spans="1:9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f t="shared" si="0"/>
        <v>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F2" sqref="F2"/>
    </sheetView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1D48-BE4E-43CC-96C6-51BED143A331}">
  <dimension ref="A1"/>
  <sheetViews>
    <sheetView workbookViewId="0">
      <selection activeCell="F28" sqref="F28"/>
    </sheetView>
  </sheetViews>
  <sheetFormatPr defaultRowHeight="15" x14ac:dyDescent="0.25"/>
  <cols>
    <col min="1" max="1" width="13.140625" bestFit="1" customWidth="1"/>
    <col min="2" max="3" width="12.1406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N19"/>
  <sheetViews>
    <sheetView workbookViewId="0">
      <selection activeCell="K11" sqref="K11"/>
    </sheetView>
  </sheetViews>
  <sheetFormatPr defaultRowHeight="15" x14ac:dyDescent="0.25"/>
  <cols>
    <col min="6" max="6" width="11.42578125" customWidth="1"/>
    <col min="7" max="7" width="14" bestFit="1" customWidth="1"/>
    <col min="8" max="8" width="14.140625" bestFit="1" customWidth="1"/>
    <col min="9" max="9" width="11.28515625" bestFit="1" customWidth="1"/>
    <col min="13" max="13" width="24.42578125" bestFit="1" customWidth="1"/>
  </cols>
  <sheetData>
    <row r="1" spans="1:14" x14ac:dyDescent="0.25">
      <c r="A1" t="s">
        <v>31</v>
      </c>
      <c r="B1" t="s">
        <v>32</v>
      </c>
      <c r="C1" t="s">
        <v>94</v>
      </c>
      <c r="D1" t="s">
        <v>33</v>
      </c>
      <c r="E1" t="s">
        <v>34</v>
      </c>
      <c r="F1" t="s">
        <v>35</v>
      </c>
      <c r="G1" t="s">
        <v>36</v>
      </c>
      <c r="H1" s="13" t="s">
        <v>83</v>
      </c>
      <c r="I1" s="13" t="s">
        <v>86</v>
      </c>
    </row>
    <row r="2" spans="1:14" x14ac:dyDescent="0.25">
      <c r="A2">
        <v>1</v>
      </c>
      <c r="B2" t="s">
        <v>37</v>
      </c>
      <c r="C2" t="str">
        <f>_xlfn.CONCAT(A2," ",B2)</f>
        <v>1 Rahul</v>
      </c>
      <c r="D2">
        <v>78</v>
      </c>
      <c r="E2">
        <v>82</v>
      </c>
      <c r="F2">
        <v>85</v>
      </c>
      <c r="G2">
        <v>92</v>
      </c>
      <c r="H2" s="5">
        <f>AVERAGE(D2,E2,F2)</f>
        <v>81.666666666666671</v>
      </c>
      <c r="I2" t="str">
        <f>IF(H2&gt;85,"Eligible","Not Eligible")</f>
        <v>Not Eligible</v>
      </c>
      <c r="J2" s="13" t="s">
        <v>84</v>
      </c>
      <c r="M2" s="13" t="s">
        <v>85</v>
      </c>
    </row>
    <row r="3" spans="1:14" x14ac:dyDescent="0.25">
      <c r="A3">
        <v>2</v>
      </c>
      <c r="B3" t="s">
        <v>38</v>
      </c>
      <c r="C3" t="str">
        <f t="shared" ref="C3:C6" si="0">_xlfn.CONCAT(A3," ",B3)</f>
        <v>2 Sneha</v>
      </c>
      <c r="D3">
        <v>88</v>
      </c>
      <c r="E3">
        <v>91</v>
      </c>
      <c r="F3">
        <v>90</v>
      </c>
      <c r="G3">
        <v>96</v>
      </c>
      <c r="H3" s="5">
        <f t="shared" ref="H3:H6" si="1">AVERAGE(D3,E3,F3)</f>
        <v>89.666666666666671</v>
      </c>
      <c r="I3" t="str">
        <f t="shared" ref="I3:I6" si="2">IF(H3&gt;85,"Eligible","Not Eligible")</f>
        <v>Eligible</v>
      </c>
      <c r="J3" t="str">
        <f>_xlfn.XLOOKUP(J4,H2:H6,B2:B6)</f>
        <v>Pooja</v>
      </c>
      <c r="M3" s="13">
        <f>COUNTIF(G2:G6,"&gt;90")</f>
        <v>3</v>
      </c>
    </row>
    <row r="4" spans="1:14" x14ac:dyDescent="0.25">
      <c r="A4">
        <v>3</v>
      </c>
      <c r="B4" t="s">
        <v>39</v>
      </c>
      <c r="C4" t="str">
        <f t="shared" si="0"/>
        <v>3 Arjun</v>
      </c>
      <c r="D4">
        <v>65</v>
      </c>
      <c r="E4">
        <v>70</v>
      </c>
      <c r="F4">
        <v>72</v>
      </c>
      <c r="G4">
        <v>85</v>
      </c>
      <c r="H4" s="5">
        <f t="shared" si="1"/>
        <v>69</v>
      </c>
      <c r="I4" t="str">
        <f t="shared" si="2"/>
        <v>Not Eligible</v>
      </c>
      <c r="J4" s="5">
        <f>MAX(H2:H6)</f>
        <v>91.666666666666671</v>
      </c>
    </row>
    <row r="5" spans="1:14" x14ac:dyDescent="0.25">
      <c r="A5">
        <v>4</v>
      </c>
      <c r="B5" t="s">
        <v>40</v>
      </c>
      <c r="C5" t="str">
        <f t="shared" si="0"/>
        <v>4 Pooja</v>
      </c>
      <c r="D5">
        <v>92</v>
      </c>
      <c r="E5">
        <v>89</v>
      </c>
      <c r="F5">
        <v>94</v>
      </c>
      <c r="G5">
        <v>98</v>
      </c>
      <c r="H5" s="5">
        <f t="shared" si="1"/>
        <v>91.666666666666671</v>
      </c>
      <c r="I5" t="str">
        <f t="shared" si="2"/>
        <v>Eligible</v>
      </c>
    </row>
    <row r="6" spans="1:14" x14ac:dyDescent="0.25">
      <c r="A6">
        <v>5</v>
      </c>
      <c r="B6" t="s">
        <v>41</v>
      </c>
      <c r="C6" t="str">
        <f t="shared" si="0"/>
        <v>5 Vikas</v>
      </c>
      <c r="D6">
        <v>55</v>
      </c>
      <c r="E6">
        <v>60</v>
      </c>
      <c r="F6">
        <v>58</v>
      </c>
      <c r="G6">
        <v>80</v>
      </c>
      <c r="H6" s="5">
        <f t="shared" si="1"/>
        <v>57.666666666666664</v>
      </c>
      <c r="I6" t="str">
        <f t="shared" si="2"/>
        <v>Not Eligible</v>
      </c>
      <c r="M6" s="13" t="s">
        <v>91</v>
      </c>
    </row>
    <row r="7" spans="1:14" x14ac:dyDescent="0.25">
      <c r="M7" s="13">
        <f>MEDIAN(E2:E6)</f>
        <v>82</v>
      </c>
    </row>
    <row r="9" spans="1:14" x14ac:dyDescent="0.25">
      <c r="M9" s="19" t="s">
        <v>93</v>
      </c>
    </row>
    <row r="10" spans="1:14" x14ac:dyDescent="0.25">
      <c r="M10" s="20">
        <f>_xlfn.STDEV.S(H2:H6)</f>
        <v>14.411415228522452</v>
      </c>
    </row>
    <row r="13" spans="1:14" x14ac:dyDescent="0.25">
      <c r="M13" s="13" t="s">
        <v>87</v>
      </c>
      <c r="N13" s="13" t="s">
        <v>92</v>
      </c>
    </row>
    <row r="14" spans="1:14" x14ac:dyDescent="0.25">
      <c r="M14" s="15" t="s">
        <v>39</v>
      </c>
      <c r="N14" s="16">
        <v>72</v>
      </c>
    </row>
    <row r="15" spans="1:14" x14ac:dyDescent="0.25">
      <c r="M15" s="15" t="s">
        <v>40</v>
      </c>
      <c r="N15" s="16">
        <v>94</v>
      </c>
    </row>
    <row r="16" spans="1:14" x14ac:dyDescent="0.25">
      <c r="M16" s="15" t="s">
        <v>37</v>
      </c>
      <c r="N16" s="16">
        <v>85</v>
      </c>
    </row>
    <row r="17" spans="13:14" x14ac:dyDescent="0.25">
      <c r="M17" s="15" t="s">
        <v>38</v>
      </c>
      <c r="N17" s="16">
        <v>90</v>
      </c>
    </row>
    <row r="18" spans="13:14" x14ac:dyDescent="0.25">
      <c r="M18" s="15" t="s">
        <v>41</v>
      </c>
      <c r="N18" s="16">
        <v>58</v>
      </c>
    </row>
    <row r="19" spans="13:14" x14ac:dyDescent="0.25">
      <c r="M19" s="15" t="s">
        <v>76</v>
      </c>
      <c r="N19" s="16">
        <v>399</v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249A-34B2-4FE9-9E8F-C411B41DAF9F}">
  <sheetPr>
    <tabColor theme="9"/>
  </sheetPr>
  <dimension ref="A1:V45"/>
  <sheetViews>
    <sheetView zoomScaleNormal="100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11.140625" customWidth="1"/>
    <col min="2" max="2" width="9.28515625" customWidth="1"/>
    <col min="3" max="3" width="13.85546875" customWidth="1"/>
    <col min="4" max="4" width="10" customWidth="1"/>
    <col min="5" max="5" width="10.85546875" customWidth="1"/>
    <col min="6" max="6" width="9.85546875" customWidth="1"/>
    <col min="7" max="7" width="12.42578125" customWidth="1"/>
    <col min="8" max="8" width="12.85546875" customWidth="1"/>
    <col min="9" max="9" width="13.28515625" bestFit="1" customWidth="1"/>
    <col min="10" max="10" width="13.42578125" bestFit="1" customWidth="1"/>
    <col min="11" max="11" width="18.5703125" bestFit="1" customWidth="1"/>
    <col min="12" max="12" width="15" bestFit="1" customWidth="1"/>
    <col min="13" max="13" width="12.28515625" bestFit="1" customWidth="1"/>
    <col min="14" max="14" width="14" bestFit="1" customWidth="1"/>
    <col min="15" max="15" width="17.85546875" bestFit="1" customWidth="1"/>
  </cols>
  <sheetData>
    <row r="1" spans="1:2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s="10" t="s">
        <v>80</v>
      </c>
      <c r="G1" t="s">
        <v>9</v>
      </c>
      <c r="H1" t="s">
        <v>10</v>
      </c>
      <c r="I1" t="s">
        <v>73</v>
      </c>
      <c r="J1" t="s">
        <v>74</v>
      </c>
      <c r="K1" s="11" t="s">
        <v>75</v>
      </c>
      <c r="L1" s="11" t="s">
        <v>100</v>
      </c>
    </row>
    <row r="2" spans="1:22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 t="str">
        <f>IF(E2&gt;3,"High","Low")</f>
        <v>Low</v>
      </c>
      <c r="G2">
        <v>45000</v>
      </c>
      <c r="H2" s="6">
        <v>45662</v>
      </c>
      <c r="I2">
        <f>E2*G2</f>
        <v>90000</v>
      </c>
      <c r="J2">
        <f>VLOOKUP(D2,Product_Master!$A$2:$C$4,3,0)</f>
        <v>18</v>
      </c>
      <c r="K2">
        <f>I2+(J2/100)*I2</f>
        <v>106200</v>
      </c>
      <c r="L2" t="str">
        <f>TEXT(SalesTable[[#This Row],[Sales_Date]],"mmmm")</f>
        <v>January</v>
      </c>
    </row>
    <row r="3" spans="1:22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 t="str">
        <f t="shared" ref="F3:F7" si="0">IF(E3&gt;3,"High","Low")</f>
        <v>High</v>
      </c>
      <c r="G3">
        <v>15000</v>
      </c>
      <c r="H3" s="6" t="s">
        <v>18</v>
      </c>
      <c r="I3">
        <f t="shared" ref="I3:I7" si="1">E3*G3</f>
        <v>75000</v>
      </c>
      <c r="J3">
        <f>VLOOKUP(D3,Product_Master!$A$2:$C$4,3,0)</f>
        <v>12</v>
      </c>
      <c r="K3">
        <f t="shared" ref="K3:K7" si="2">I3+(J3/100)*I3</f>
        <v>84000</v>
      </c>
      <c r="L3" t="str">
        <f>TEXT(SalesTable[[#This Row],[Sales_Date]],"mmmm")</f>
        <v>January</v>
      </c>
    </row>
    <row r="4" spans="1:22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 t="str">
        <f t="shared" si="0"/>
        <v>Low</v>
      </c>
      <c r="G4">
        <v>18000</v>
      </c>
      <c r="H4" s="6" t="s">
        <v>22</v>
      </c>
      <c r="I4">
        <f t="shared" si="1"/>
        <v>54000</v>
      </c>
      <c r="J4">
        <f>VLOOKUP(D4,Product_Master!$A$2:$C$4,3,0)</f>
        <v>12</v>
      </c>
      <c r="K4">
        <f t="shared" si="2"/>
        <v>60480</v>
      </c>
      <c r="L4" t="str">
        <f>TEXT(SalesTable[[#This Row],[Sales_Date]],"mmmm")</f>
        <v>January</v>
      </c>
      <c r="P4" s="1" t="s">
        <v>99</v>
      </c>
    </row>
    <row r="5" spans="1:22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 t="str">
        <f t="shared" si="0"/>
        <v>Low</v>
      </c>
      <c r="G5">
        <v>45000</v>
      </c>
      <c r="H5" s="6" t="s">
        <v>25</v>
      </c>
      <c r="I5">
        <f t="shared" si="1"/>
        <v>45000</v>
      </c>
      <c r="J5">
        <f>VLOOKUP(D5,Product_Master!$A$2:$C$4,3,0)</f>
        <v>18</v>
      </c>
      <c r="K5">
        <f t="shared" si="2"/>
        <v>53100</v>
      </c>
      <c r="L5" t="str">
        <f>TEXT(SalesTable[[#This Row],[Sales_Date]],"mmmm")</f>
        <v>January</v>
      </c>
      <c r="P5">
        <f>COUNTIFS(SalesTable[Product],"Laptop",SalesTable[Region],"North")</f>
        <v>1</v>
      </c>
      <c r="S5" s="1" t="s">
        <v>97</v>
      </c>
      <c r="V5" s="1" t="s">
        <v>96</v>
      </c>
    </row>
    <row r="6" spans="1:22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 t="str">
        <f t="shared" si="0"/>
        <v>High</v>
      </c>
      <c r="G6">
        <v>15000</v>
      </c>
      <c r="H6" s="6" t="s">
        <v>26</v>
      </c>
      <c r="I6">
        <f t="shared" si="1"/>
        <v>60000</v>
      </c>
      <c r="J6">
        <f>VLOOKUP(D6,Product_Master!$A$2:$C$4,3,0)</f>
        <v>12</v>
      </c>
      <c r="K6">
        <f t="shared" si="2"/>
        <v>67200</v>
      </c>
      <c r="L6" t="str">
        <f>TEXT(SalesTable[[#This Row],[Sales_Date]],"mmmm")</f>
        <v>January</v>
      </c>
      <c r="S6">
        <v>60000</v>
      </c>
      <c r="V6" t="str">
        <f>LEFT(F6,2)</f>
        <v>Hi</v>
      </c>
    </row>
    <row r="7" spans="1:22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 t="str">
        <f t="shared" si="0"/>
        <v>Low</v>
      </c>
      <c r="G7">
        <v>45000</v>
      </c>
      <c r="H7" s="6" t="s">
        <v>27</v>
      </c>
      <c r="I7">
        <f t="shared" si="1"/>
        <v>90000</v>
      </c>
      <c r="J7">
        <f>VLOOKUP(D7,Product_Master!$A$2:$C$4,3,0)</f>
        <v>18</v>
      </c>
      <c r="K7">
        <f t="shared" si="2"/>
        <v>106200</v>
      </c>
      <c r="L7" t="str">
        <f>TEXT(SalesTable[[#This Row],[Sales_Date]],"mmmm")</f>
        <v>January</v>
      </c>
    </row>
    <row r="8" spans="1:22" x14ac:dyDescent="0.25">
      <c r="J8" s="3" t="s">
        <v>78</v>
      </c>
      <c r="K8" s="3">
        <f>SUM(K2:K7)</f>
        <v>477180</v>
      </c>
    </row>
    <row r="10" spans="1:22" x14ac:dyDescent="0.25">
      <c r="P10" s="2" t="s">
        <v>77</v>
      </c>
      <c r="Q10" s="2">
        <f>COUNTA(A2:A7)</f>
        <v>6</v>
      </c>
    </row>
    <row r="12" spans="1:22" x14ac:dyDescent="0.25">
      <c r="A12" s="17" t="s">
        <v>95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22" x14ac:dyDescent="0.25">
      <c r="A13" s="4" cm="1">
        <f t="array" ref="A13:K18">_xlfn._xlws.SORT(A2:K7,11,)</f>
        <v>304</v>
      </c>
      <c r="B13" s="4" t="str">
        <v>West</v>
      </c>
      <c r="C13" s="4" t="str">
        <v>Neha</v>
      </c>
      <c r="D13" s="4" t="str">
        <v>Laptop</v>
      </c>
      <c r="E13" s="4">
        <v>1</v>
      </c>
      <c r="F13" s="4" t="str">
        <v>Low</v>
      </c>
      <c r="G13" s="4">
        <v>45000</v>
      </c>
      <c r="H13" s="4" t="str">
        <v>12-01-2025</v>
      </c>
      <c r="I13" s="4">
        <v>45000</v>
      </c>
      <c r="J13" s="4">
        <v>18</v>
      </c>
      <c r="K13" s="4">
        <v>53100</v>
      </c>
      <c r="P13" t="s">
        <v>79</v>
      </c>
      <c r="U13" s="4" t="s">
        <v>81</v>
      </c>
      <c r="V13" s="4">
        <f>MAX(K2:K7)</f>
        <v>106200</v>
      </c>
    </row>
    <row r="14" spans="1:22" x14ac:dyDescent="0.25">
      <c r="A14" s="4">
        <v>303</v>
      </c>
      <c r="B14" s="4" t="str">
        <v>East</v>
      </c>
      <c r="C14" s="4" t="str">
        <v>Kunal</v>
      </c>
      <c r="D14" s="4" t="str">
        <v>Tablet</v>
      </c>
      <c r="E14" s="4">
        <v>3</v>
      </c>
      <c r="F14" s="4" t="str">
        <v>Low</v>
      </c>
      <c r="G14" s="4">
        <v>18000</v>
      </c>
      <c r="H14" s="4" t="str">
        <v>10-01-2025</v>
      </c>
      <c r="I14" s="4">
        <v>54000</v>
      </c>
      <c r="J14" s="4">
        <v>12</v>
      </c>
      <c r="K14" s="4">
        <v>60480</v>
      </c>
      <c r="P14" s="4" t="s">
        <v>11</v>
      </c>
      <c r="Q14" s="4" t="s">
        <v>15</v>
      </c>
      <c r="R14" s="4" t="s">
        <v>19</v>
      </c>
      <c r="S14" s="4" t="s">
        <v>23</v>
      </c>
      <c r="U14" s="4" t="s">
        <v>82</v>
      </c>
      <c r="V14" s="4">
        <f>MIN(K2:K7)</f>
        <v>53100</v>
      </c>
    </row>
    <row r="15" spans="1:22" x14ac:dyDescent="0.25">
      <c r="A15" s="4">
        <v>305</v>
      </c>
      <c r="B15" s="4" t="str">
        <v>North</v>
      </c>
      <c r="C15" s="4" t="str">
        <v>Amit</v>
      </c>
      <c r="D15" s="4" t="str">
        <v>Mobile</v>
      </c>
      <c r="E15" s="4">
        <v>4</v>
      </c>
      <c r="F15" s="4" t="str">
        <v>High</v>
      </c>
      <c r="G15" s="4">
        <v>15000</v>
      </c>
      <c r="H15" s="4" t="str">
        <v>15-01-2025</v>
      </c>
      <c r="I15" s="4">
        <v>60000</v>
      </c>
      <c r="J15" s="4">
        <v>12</v>
      </c>
      <c r="K15" s="4">
        <v>67200</v>
      </c>
      <c r="P15" s="4">
        <f>SUMIF($B$2:$B$7,P14,$I$2:$I$7)</f>
        <v>150000</v>
      </c>
      <c r="Q15" s="4">
        <f>SUMIF($B$2:$B$7,Q14,$I$2:$I$7)</f>
        <v>165000</v>
      </c>
      <c r="R15" s="4">
        <f>SUMIF($B$2:$B$7,R14,$I$2:$I$7)</f>
        <v>54000</v>
      </c>
      <c r="S15" s="4">
        <f>SUMIF($B$2:$B$7,S14,$I$2:$I$7)</f>
        <v>45000</v>
      </c>
    </row>
    <row r="16" spans="1:22" x14ac:dyDescent="0.25">
      <c r="A16" s="4">
        <v>302</v>
      </c>
      <c r="B16" s="4" t="str">
        <v>South</v>
      </c>
      <c r="C16" s="4" t="str">
        <v>Riya</v>
      </c>
      <c r="D16" s="4" t="str">
        <v>Mobile</v>
      </c>
      <c r="E16" s="4">
        <v>5</v>
      </c>
      <c r="F16" s="4" t="str">
        <v>High</v>
      </c>
      <c r="G16" s="4">
        <v>15000</v>
      </c>
      <c r="H16" s="4" t="str">
        <v>07-01-2025</v>
      </c>
      <c r="I16" s="4">
        <v>75000</v>
      </c>
      <c r="J16" s="4">
        <v>12</v>
      </c>
      <c r="K16" s="4">
        <v>84000</v>
      </c>
    </row>
    <row r="17" spans="1:15" x14ac:dyDescent="0.25">
      <c r="A17" s="4">
        <v>301</v>
      </c>
      <c r="B17" s="4" t="str">
        <v>North</v>
      </c>
      <c r="C17" s="4" t="str">
        <v>Amit</v>
      </c>
      <c r="D17" s="4" t="str">
        <v>Laptop</v>
      </c>
      <c r="E17" s="4">
        <v>2</v>
      </c>
      <c r="F17" s="4" t="str">
        <v>Low</v>
      </c>
      <c r="G17" s="4">
        <v>45000</v>
      </c>
      <c r="H17" s="4">
        <v>45662</v>
      </c>
      <c r="I17" s="4">
        <v>90000</v>
      </c>
      <c r="J17" s="4">
        <v>18</v>
      </c>
      <c r="K17" s="4">
        <v>106200</v>
      </c>
    </row>
    <row r="18" spans="1:15" x14ac:dyDescent="0.25">
      <c r="A18" s="4">
        <v>306</v>
      </c>
      <c r="B18" s="4" t="str">
        <v>South</v>
      </c>
      <c r="C18" s="4" t="str">
        <v>Riya</v>
      </c>
      <c r="D18" s="4" t="str">
        <v>Laptop</v>
      </c>
      <c r="E18" s="4">
        <v>2</v>
      </c>
      <c r="F18" s="4" t="str">
        <v>Low</v>
      </c>
      <c r="G18" s="4">
        <v>45000</v>
      </c>
      <c r="H18" s="4" t="str">
        <v>18-01-2025</v>
      </c>
      <c r="I18" s="4">
        <v>90000</v>
      </c>
      <c r="J18" s="4">
        <v>18</v>
      </c>
      <c r="K18" s="4">
        <v>106200</v>
      </c>
    </row>
    <row r="21" spans="1:15" x14ac:dyDescent="0.25">
      <c r="N21" s="18" t="s">
        <v>89</v>
      </c>
      <c r="O21" s="18"/>
    </row>
    <row r="22" spans="1:15" x14ac:dyDescent="0.25">
      <c r="N22" s="7" t="s">
        <v>87</v>
      </c>
      <c r="O22" t="s">
        <v>88</v>
      </c>
    </row>
    <row r="23" spans="1:15" x14ac:dyDescent="0.25">
      <c r="N23" s="8" t="s">
        <v>13</v>
      </c>
      <c r="O23" s="9">
        <v>225000</v>
      </c>
    </row>
    <row r="24" spans="1:15" x14ac:dyDescent="0.25">
      <c r="N24" s="8" t="s">
        <v>17</v>
      </c>
      <c r="O24" s="9">
        <v>135000</v>
      </c>
    </row>
    <row r="25" spans="1:15" x14ac:dyDescent="0.25">
      <c r="N25" s="8" t="s">
        <v>21</v>
      </c>
      <c r="O25" s="9">
        <v>54000</v>
      </c>
    </row>
    <row r="26" spans="1:15" x14ac:dyDescent="0.25">
      <c r="N26" s="8" t="s">
        <v>76</v>
      </c>
      <c r="O26" s="9">
        <v>414000</v>
      </c>
    </row>
    <row r="28" spans="1:15" x14ac:dyDescent="0.25">
      <c r="N28" s="18" t="s">
        <v>90</v>
      </c>
      <c r="O28" s="18"/>
    </row>
    <row r="29" spans="1:15" x14ac:dyDescent="0.25">
      <c r="N29" s="7" t="s">
        <v>87</v>
      </c>
      <c r="O29" t="s">
        <v>88</v>
      </c>
    </row>
    <row r="30" spans="1:15" x14ac:dyDescent="0.25">
      <c r="N30" s="8" t="s">
        <v>19</v>
      </c>
      <c r="O30" s="9">
        <v>54000</v>
      </c>
    </row>
    <row r="31" spans="1:15" x14ac:dyDescent="0.25">
      <c r="N31" s="8" t="s">
        <v>11</v>
      </c>
      <c r="O31" s="9">
        <v>150000</v>
      </c>
    </row>
    <row r="32" spans="1:15" x14ac:dyDescent="0.25">
      <c r="N32" s="8" t="s">
        <v>15</v>
      </c>
      <c r="O32" s="9">
        <v>165000</v>
      </c>
    </row>
    <row r="33" spans="1:15" x14ac:dyDescent="0.25">
      <c r="N33" s="8" t="s">
        <v>23</v>
      </c>
      <c r="O33" s="9">
        <v>45000</v>
      </c>
    </row>
    <row r="34" spans="1:15" x14ac:dyDescent="0.25">
      <c r="N34" s="8" t="s">
        <v>76</v>
      </c>
      <c r="O34" s="9">
        <v>414000</v>
      </c>
    </row>
    <row r="39" spans="1:15" x14ac:dyDescent="0.25">
      <c r="A39" t="s">
        <v>4</v>
      </c>
      <c r="B39" t="s">
        <v>5</v>
      </c>
      <c r="C39" t="s">
        <v>6</v>
      </c>
      <c r="D39" t="s">
        <v>7</v>
      </c>
      <c r="E39" t="s">
        <v>8</v>
      </c>
      <c r="F39" t="s">
        <v>9</v>
      </c>
      <c r="G39" t="s">
        <v>10</v>
      </c>
      <c r="H39" t="s">
        <v>73</v>
      </c>
      <c r="I39" t="s">
        <v>28</v>
      </c>
    </row>
    <row r="40" spans="1:15" x14ac:dyDescent="0.25">
      <c r="A40">
        <v>301</v>
      </c>
      <c r="B40" t="s">
        <v>11</v>
      </c>
      <c r="C40" t="s">
        <v>12</v>
      </c>
      <c r="D40" t="s">
        <v>13</v>
      </c>
      <c r="E40">
        <v>2</v>
      </c>
      <c r="F40">
        <v>45000</v>
      </c>
      <c r="G40" t="s">
        <v>14</v>
      </c>
      <c r="H40">
        <f t="shared" ref="H40:H45" si="3">E40*F40</f>
        <v>90000</v>
      </c>
    </row>
    <row r="41" spans="1:15" x14ac:dyDescent="0.25">
      <c r="A41">
        <v>302</v>
      </c>
      <c r="B41" t="s">
        <v>15</v>
      </c>
      <c r="C41" t="s">
        <v>16</v>
      </c>
      <c r="D41" t="s">
        <v>17</v>
      </c>
      <c r="E41">
        <v>5</v>
      </c>
      <c r="F41">
        <v>15000</v>
      </c>
      <c r="G41" t="s">
        <v>18</v>
      </c>
      <c r="H41">
        <f t="shared" si="3"/>
        <v>75000</v>
      </c>
    </row>
    <row r="42" spans="1:15" x14ac:dyDescent="0.25">
      <c r="A42">
        <v>303</v>
      </c>
      <c r="B42" t="s">
        <v>19</v>
      </c>
      <c r="C42" t="s">
        <v>20</v>
      </c>
      <c r="D42" t="s">
        <v>21</v>
      </c>
      <c r="E42">
        <v>3</v>
      </c>
      <c r="F42">
        <v>18000</v>
      </c>
      <c r="G42" t="s">
        <v>22</v>
      </c>
      <c r="H42">
        <f t="shared" si="3"/>
        <v>54000</v>
      </c>
    </row>
    <row r="43" spans="1:15" x14ac:dyDescent="0.25">
      <c r="A43">
        <v>304</v>
      </c>
      <c r="B43" t="s">
        <v>23</v>
      </c>
      <c r="C43" t="s">
        <v>24</v>
      </c>
      <c r="D43" t="s">
        <v>13</v>
      </c>
      <c r="E43">
        <v>1</v>
      </c>
      <c r="F43">
        <v>45000</v>
      </c>
      <c r="G43" t="s">
        <v>25</v>
      </c>
      <c r="H43">
        <f t="shared" si="3"/>
        <v>45000</v>
      </c>
    </row>
    <row r="44" spans="1:15" x14ac:dyDescent="0.25">
      <c r="A44">
        <v>305</v>
      </c>
      <c r="B44" t="s">
        <v>11</v>
      </c>
      <c r="C44" t="s">
        <v>12</v>
      </c>
      <c r="D44" t="s">
        <v>17</v>
      </c>
      <c r="E44">
        <v>4</v>
      </c>
      <c r="F44">
        <v>15000</v>
      </c>
      <c r="G44" t="s">
        <v>26</v>
      </c>
      <c r="H44">
        <f t="shared" si="3"/>
        <v>60000</v>
      </c>
    </row>
    <row r="45" spans="1:15" x14ac:dyDescent="0.25">
      <c r="A45">
        <v>306</v>
      </c>
      <c r="B45" t="s">
        <v>15</v>
      </c>
      <c r="C45" t="s">
        <v>16</v>
      </c>
      <c r="D45" t="s">
        <v>13</v>
      </c>
      <c r="E45">
        <v>2</v>
      </c>
      <c r="F45">
        <v>45000</v>
      </c>
      <c r="G45" t="s">
        <v>27</v>
      </c>
      <c r="H45">
        <f t="shared" si="3"/>
        <v>90000</v>
      </c>
    </row>
  </sheetData>
  <mergeCells count="3">
    <mergeCell ref="A12:K12"/>
    <mergeCell ref="N21:O21"/>
    <mergeCell ref="N28:O28"/>
  </mergeCells>
  <conditionalFormatting sqref="O6">
    <cfRule type="cellIs" dxfId="4" priority="5" operator="greaterThan">
      <formula>$S$6</formula>
    </cfRule>
  </conditionalFormatting>
  <conditionalFormatting sqref="K2:K7">
    <cfRule type="cellIs" dxfId="3" priority="6" operator="greaterThan">
      <formula>$S$6</formula>
    </cfRule>
  </conditionalFormatting>
  <conditionalFormatting sqref="L2:L7">
    <cfRule type="cellIs" dxfId="0" priority="1" operator="greaterThan">
      <formula>$S$6</formula>
    </cfRule>
  </conditionalFormatting>
  <pageMargins left="0.7" right="0.7" top="0.75" bottom="0.75" header="0.3" footer="0.3"/>
  <pageSetup orientation="portrait"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74CC-0AB7-4D7E-A40F-0A0EF5C5B789}">
  <sheetPr>
    <tabColor theme="3" tint="0.59999389629810485"/>
  </sheetPr>
  <dimension ref="A10:B16"/>
  <sheetViews>
    <sheetView workbookViewId="0">
      <selection activeCell="C10" sqref="C10"/>
    </sheetView>
  </sheetViews>
  <sheetFormatPr defaultRowHeight="15" x14ac:dyDescent="0.25"/>
  <cols>
    <col min="1" max="1" width="13.140625" bestFit="1" customWidth="1"/>
    <col min="2" max="2" width="17.85546875" bestFit="1" customWidth="1"/>
    <col min="3" max="3" width="15.42578125" bestFit="1" customWidth="1"/>
    <col min="4" max="4" width="13.140625" bestFit="1" customWidth="1"/>
    <col min="5" max="5" width="17.85546875" bestFit="1" customWidth="1"/>
  </cols>
  <sheetData>
    <row r="10" spans="1:2" x14ac:dyDescent="0.25">
      <c r="A10" s="7" t="s">
        <v>8</v>
      </c>
      <c r="B10" t="s">
        <v>98</v>
      </c>
    </row>
    <row r="12" spans="1:2" x14ac:dyDescent="0.25">
      <c r="A12" s="7" t="s">
        <v>87</v>
      </c>
      <c r="B12" t="s">
        <v>88</v>
      </c>
    </row>
    <row r="13" spans="1:2" x14ac:dyDescent="0.25">
      <c r="A13" s="8" t="s">
        <v>13</v>
      </c>
      <c r="B13" s="9">
        <v>180000</v>
      </c>
    </row>
    <row r="14" spans="1:2" x14ac:dyDescent="0.25">
      <c r="A14" s="8" t="s">
        <v>17</v>
      </c>
      <c r="B14" s="9">
        <v>135000</v>
      </c>
    </row>
    <row r="15" spans="1:2" x14ac:dyDescent="0.25">
      <c r="A15" s="8" t="s">
        <v>21</v>
      </c>
      <c r="B15" s="9">
        <v>54000</v>
      </c>
    </row>
    <row r="16" spans="1:2" x14ac:dyDescent="0.25">
      <c r="A16" s="8" t="s">
        <v>76</v>
      </c>
      <c r="B16" s="9">
        <v>369000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abSelected="1" zoomScale="85" zoomScaleNormal="85" workbookViewId="0">
      <selection activeCell="O21" sqref="O21"/>
    </sheetView>
  </sheetViews>
  <sheetFormatPr defaultRowHeight="15" x14ac:dyDescent="0.25"/>
  <sheetData>
    <row r="1" spans="1:10" x14ac:dyDescent="0.25">
      <c r="A1" t="s">
        <v>42</v>
      </c>
      <c r="J1" s="12">
        <v>2</v>
      </c>
    </row>
    <row r="2" spans="1:10" x14ac:dyDescent="0.25">
      <c r="A2" t="s">
        <v>43</v>
      </c>
      <c r="J2" s="12">
        <v>2</v>
      </c>
    </row>
    <row r="3" spans="1:10" x14ac:dyDescent="0.25">
      <c r="A3" t="s">
        <v>44</v>
      </c>
      <c r="J3" s="12">
        <v>2</v>
      </c>
    </row>
    <row r="4" spans="1:10" x14ac:dyDescent="0.25">
      <c r="A4" t="s">
        <v>45</v>
      </c>
      <c r="J4" s="12">
        <v>2</v>
      </c>
    </row>
    <row r="5" spans="1:10" x14ac:dyDescent="0.25">
      <c r="A5" t="s">
        <v>46</v>
      </c>
      <c r="J5" s="12">
        <v>2</v>
      </c>
    </row>
    <row r="6" spans="1:10" x14ac:dyDescent="0.25">
      <c r="A6" t="s">
        <v>47</v>
      </c>
      <c r="J6" s="12">
        <v>2</v>
      </c>
    </row>
    <row r="7" spans="1:10" x14ac:dyDescent="0.25">
      <c r="A7" t="s">
        <v>48</v>
      </c>
      <c r="J7" s="12">
        <v>2</v>
      </c>
    </row>
    <row r="8" spans="1:10" x14ac:dyDescent="0.25">
      <c r="A8" t="s">
        <v>49</v>
      </c>
      <c r="J8" s="12">
        <v>2</v>
      </c>
    </row>
    <row r="9" spans="1:10" x14ac:dyDescent="0.25">
      <c r="A9" t="s">
        <v>50</v>
      </c>
      <c r="J9" s="12">
        <v>2</v>
      </c>
    </row>
    <row r="10" spans="1:10" x14ac:dyDescent="0.25">
      <c r="A10" t="s">
        <v>51</v>
      </c>
      <c r="J10" s="12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 s="13">
        <v>2</v>
      </c>
    </row>
    <row r="13" spans="1:10" x14ac:dyDescent="0.25">
      <c r="A13" t="s">
        <v>54</v>
      </c>
      <c r="J13" s="13">
        <v>2</v>
      </c>
    </row>
    <row r="14" spans="1:10" x14ac:dyDescent="0.25">
      <c r="A14" t="s">
        <v>55</v>
      </c>
      <c r="J14" s="13">
        <v>2</v>
      </c>
    </row>
    <row r="15" spans="1:10" x14ac:dyDescent="0.25">
      <c r="A15" t="s">
        <v>56</v>
      </c>
      <c r="J15" s="13">
        <v>2</v>
      </c>
    </row>
    <row r="16" spans="1:10" x14ac:dyDescent="0.25">
      <c r="A16" t="s">
        <v>57</v>
      </c>
      <c r="J16" s="14">
        <v>2</v>
      </c>
    </row>
    <row r="17" spans="1:10" x14ac:dyDescent="0.25">
      <c r="A17" t="s">
        <v>58</v>
      </c>
      <c r="J17" s="14">
        <v>2</v>
      </c>
    </row>
    <row r="18" spans="1:10" x14ac:dyDescent="0.25">
      <c r="A18" t="s">
        <v>59</v>
      </c>
      <c r="J18" s="14">
        <v>2</v>
      </c>
    </row>
    <row r="19" spans="1:10" x14ac:dyDescent="0.25">
      <c r="A19" t="s">
        <v>60</v>
      </c>
      <c r="J19" s="13">
        <v>2</v>
      </c>
    </row>
    <row r="20" spans="1:10" x14ac:dyDescent="0.25">
      <c r="A20" t="s">
        <v>61</v>
      </c>
      <c r="J20" s="13">
        <v>2</v>
      </c>
    </row>
    <row r="21" spans="1:10" x14ac:dyDescent="0.25">
      <c r="A21" t="s">
        <v>62</v>
      </c>
      <c r="J21" s="13">
        <v>2</v>
      </c>
    </row>
    <row r="22" spans="1:10" x14ac:dyDescent="0.25">
      <c r="A22" t="s">
        <v>63</v>
      </c>
      <c r="J22" s="13">
        <v>2</v>
      </c>
    </row>
    <row r="23" spans="1:10" x14ac:dyDescent="0.25">
      <c r="A23" t="s">
        <v>64</v>
      </c>
      <c r="J23" s="12">
        <v>2</v>
      </c>
    </row>
    <row r="24" spans="1:10" x14ac:dyDescent="0.25">
      <c r="A24" t="s">
        <v>65</v>
      </c>
      <c r="J24" s="12">
        <v>2</v>
      </c>
    </row>
    <row r="25" spans="1:10" x14ac:dyDescent="0.25">
      <c r="A25" t="s">
        <v>66</v>
      </c>
      <c r="J25" s="10">
        <v>2</v>
      </c>
    </row>
    <row r="26" spans="1:10" x14ac:dyDescent="0.25">
      <c r="A26" t="s">
        <v>67</v>
      </c>
      <c r="J26" s="12">
        <v>2</v>
      </c>
    </row>
    <row r="27" spans="1:10" x14ac:dyDescent="0.25">
      <c r="A27" t="s">
        <v>68</v>
      </c>
      <c r="J27" s="12">
        <v>2</v>
      </c>
    </row>
    <row r="28" spans="1:10" x14ac:dyDescent="0.25">
      <c r="A28" t="s">
        <v>69</v>
      </c>
      <c r="J28" s="1">
        <v>2</v>
      </c>
    </row>
    <row r="29" spans="1:10" x14ac:dyDescent="0.25">
      <c r="A29" t="s">
        <v>70</v>
      </c>
      <c r="J29" s="12">
        <v>2</v>
      </c>
    </row>
    <row r="30" spans="1:10" x14ac:dyDescent="0.25">
      <c r="A30" t="s">
        <v>71</v>
      </c>
      <c r="J30" s="1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Sales_Data</vt:lpstr>
      <vt:lpstr>Product_Master</vt:lpstr>
      <vt:lpstr>Student_pivot</vt:lpstr>
      <vt:lpstr>Student_Marks</vt:lpstr>
      <vt:lpstr>Sales_2</vt:lpstr>
      <vt:lpstr>Sales Pivot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ASDC24</cp:lastModifiedBy>
  <dcterms:created xsi:type="dcterms:W3CDTF">2025-12-20T09:26:06Z</dcterms:created>
  <dcterms:modified xsi:type="dcterms:W3CDTF">2026-05-30T11:41:58Z</dcterms:modified>
</cp:coreProperties>
</file>
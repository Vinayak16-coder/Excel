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4\Desktop\Vinayak\"/>
    </mc:Choice>
  </mc:AlternateContent>
  <xr:revisionPtr revIDLastSave="0" documentId="13_ncr:1_{0525871D-515A-4956-B4EE-D11D27649297}" xr6:coauthVersionLast="47" xr6:coauthVersionMax="47" xr10:uidLastSave="{00000000-0000-0000-0000-000000000000}"/>
  <bookViews>
    <workbookView xWindow="-120" yWindow="-120" windowWidth="20730" windowHeight="11040" activeTab="2" xr2:uid="{5DA60CE0-9EBD-4C0A-A702-40468FECD79B}"/>
  </bookViews>
  <sheets>
    <sheet name="Employee_Data" sheetId="1" r:id="rId1"/>
    <sheet name="Department_Bonus" sheetId="2" r:id="rId2"/>
    <sheet name="Search_Inpu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4" l="1"/>
  <c r="G22" i="4"/>
  <c r="H12" i="4"/>
  <c r="D22" i="4"/>
  <c r="F18" i="4"/>
  <c r="B12" i="4"/>
  <c r="E18" i="4"/>
  <c r="B18" i="4"/>
  <c r="G12" i="4" l="1"/>
  <c r="I12" i="4" s="1"/>
  <c r="J3" i="4"/>
  <c r="E7" i="4"/>
  <c r="B7" i="4"/>
  <c r="E3" i="4"/>
  <c r="B3" i="4"/>
</calcChain>
</file>

<file path=xl/sharedStrings.xml><?xml version="1.0" encoding="utf-8"?>
<sst xmlns="http://schemas.openxmlformats.org/spreadsheetml/2006/main" count="83" uniqueCount="46">
  <si>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</si>
  <si>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</si>
  <si>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</si>
  <si>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</si>
  <si>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</si>
  <si>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</si>
  <si>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</si>
  <si>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</si>
  <si>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</si>
  <si>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</si>
  <si>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</si>
  <si>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</si>
  <si>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</si>
  <si>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</si>
  <si>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</si>
  <si>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</si>
  <si>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</si>
  <si>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</si>
  <si>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</si>
  <si>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</si>
  <si>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</si>
  <si>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</si>
  <si>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</si>
  <si>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</si>
  <si>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</si>
  <si>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</si>
  <si>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</si>
  <si>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</si>
  <si>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</si>
  <si>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</si>
  <si>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</si>
  <si>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</si>
  <si>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</si>
  <si>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</si>
  <si>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Find the Name of employee using EmployeeID from Search_Input.</t>
  </si>
  <si>
    <t>Employee ID</t>
  </si>
  <si>
    <t>location</t>
  </si>
  <si>
    <t>E1116</t>
  </si>
  <si>
    <t>Joining Year</t>
  </si>
  <si>
    <t>Bonus%</t>
  </si>
  <si>
    <t>EMployeeID</t>
  </si>
  <si>
    <t>Employee Name</t>
  </si>
  <si>
    <t>Loction</t>
  </si>
  <si>
    <t>EmployeeName</t>
  </si>
  <si>
    <t>E04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</si>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</sst>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  <xf numFmtId="9" fontId="1" fillId="0" borderId="1" xfId="0" applyNumberFormat="1" applyFont="1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0" xfId="0" applyFill="1"/>
    <xf numFmtId="0" fontId="0" fillId="0" borderId="0" xfId="0" applyFill="1" applyBorder="1"/>
    <xf numFmtId="0" fontId="0" fillId="2" borderId="0" xfId="0" applyFill="1"/>
    <xf numFmtId="10" fontId="0" fillId="0" borderId="0" xfId="0" applyNumberFormat="1"/>
    <xf numFmtId="1" fontId="0" fillId="0" borderId="0" xfId="0" applyNumberFormat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8CCD-22BE-4EA7-993C-61AB96838ACB}">
  <dimension ref="A1:F9"/>
  <sheetViews>
    <sheetView workbookViewId="0">
      <selection sqref="A1:E1"/>
    </sheetView>
  </sheetViews>
  <sheetFormatPr defaultRowHeight="15" x14ac:dyDescent="0.25"/>
  <cols>
    <col min="1" max="1" width="11.85546875" bestFit="1" customWidth="1"/>
    <col min="2" max="2" width="13.5703125" bestFit="1" customWidth="1"/>
    <col min="3" max="3" width="11.140625" bestFit="1" customWidth="1"/>
    <col min="4" max="4" width="10.7109375" bestFit="1" customWidth="1"/>
    <col min="5" max="5" width="6.7109375" bestFit="1" customWidth="1"/>
    <col min="6" max="6" width="11.140625" bestFit="1" customWidth="1"/>
  </cols>
  <sheetData>
    <row r="1" spans="1:6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.75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45000</v>
      </c>
      <c r="F2" s="1">
        <v>2019</v>
      </c>
    </row>
    <row r="3" spans="1:6" ht="15.7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>
        <v>52000</v>
      </c>
      <c r="F3" s="1">
        <v>2018</v>
      </c>
    </row>
    <row r="4" spans="1:6" ht="15.75" x14ac:dyDescent="0.25">
      <c r="A4" s="1" t="s">
        <v>14</v>
      </c>
      <c r="B4" s="1" t="s">
        <v>15</v>
      </c>
      <c r="C4" s="1" t="s">
        <v>16</v>
      </c>
      <c r="D4" s="1" t="s">
        <v>17</v>
      </c>
      <c r="E4" s="1">
        <v>65000</v>
      </c>
      <c r="F4" s="1">
        <v>2020</v>
      </c>
    </row>
    <row r="5" spans="1:6" ht="15.75" x14ac:dyDescent="0.25">
      <c r="A5" s="1" t="s">
        <v>18</v>
      </c>
      <c r="B5" s="1" t="s">
        <v>19</v>
      </c>
      <c r="C5" s="1" t="s">
        <v>20</v>
      </c>
      <c r="D5" s="1" t="s">
        <v>21</v>
      </c>
      <c r="E5" s="1">
        <v>58000</v>
      </c>
      <c r="F5" s="1">
        <v>2017</v>
      </c>
    </row>
    <row r="6" spans="1:6" ht="15.75" x14ac:dyDescent="0.25">
      <c r="A6" s="1" t="s">
        <v>22</v>
      </c>
      <c r="B6" s="1" t="s">
        <v>23</v>
      </c>
      <c r="C6" s="1" t="s">
        <v>24</v>
      </c>
      <c r="D6" s="1" t="s">
        <v>9</v>
      </c>
      <c r="E6" s="1">
        <v>48000</v>
      </c>
      <c r="F6" s="1">
        <v>2021</v>
      </c>
    </row>
    <row r="7" spans="1:6" ht="15.75" x14ac:dyDescent="0.25">
      <c r="A7" s="1" t="s">
        <v>25</v>
      </c>
      <c r="B7" s="1" t="s">
        <v>26</v>
      </c>
      <c r="C7" s="1" t="s">
        <v>16</v>
      </c>
      <c r="D7" s="1" t="s">
        <v>27</v>
      </c>
      <c r="E7" s="1">
        <v>62000</v>
      </c>
      <c r="F7" s="1">
        <v>2019</v>
      </c>
    </row>
    <row r="8" spans="1:6" ht="15.75" x14ac:dyDescent="0.25">
      <c r="A8" s="1" t="s">
        <v>28</v>
      </c>
      <c r="B8" s="1" t="s">
        <v>29</v>
      </c>
      <c r="C8" s="1" t="s">
        <v>8</v>
      </c>
      <c r="D8" s="1" t="s">
        <v>30</v>
      </c>
      <c r="E8" s="1">
        <v>47000</v>
      </c>
      <c r="F8" s="1">
        <v>2020</v>
      </c>
    </row>
    <row r="9" spans="1:6" ht="15.75" x14ac:dyDescent="0.25">
      <c r="A9" s="1" t="s">
        <v>31</v>
      </c>
      <c r="B9" s="1" t="s">
        <v>32</v>
      </c>
      <c r="C9" s="1" t="s">
        <v>12</v>
      </c>
      <c r="D9" s="1" t="s">
        <v>17</v>
      </c>
      <c r="E9" s="1">
        <v>54000</v>
      </c>
      <c r="F9" s="1">
        <v>2016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FDC7-5ED4-4E58-9FB0-F31ACC30455D}">
  <dimension ref="A1:F2"/>
  <sheetViews>
    <sheetView workbookViewId="0">
      <selection activeCell="F12" sqref="F12"/>
    </sheetView>
  </sheetViews>
  <sheetFormatPr defaultRowHeight="15" x14ac:dyDescent="0.25"/>
  <cols>
    <col min="1" max="1" width="11.7109375" bestFit="1" customWidth="1"/>
    <col min="2" max="2" width="5.85546875" bestFit="1" customWidth="1"/>
    <col min="3" max="3" width="4" bestFit="1" customWidth="1"/>
    <col min="4" max="4" width="5.140625" bestFit="1" customWidth="1"/>
    <col min="5" max="5" width="8.140625" bestFit="1" customWidth="1"/>
    <col min="6" max="6" width="10.28515625" bestFit="1" customWidth="1"/>
  </cols>
  <sheetData>
    <row r="1" spans="1:6" ht="15.75" x14ac:dyDescent="0.25">
      <c r="A1" s="5" t="s">
        <v>2</v>
      </c>
      <c r="B1" s="5" t="s">
        <v>8</v>
      </c>
      <c r="C1" s="5" t="s">
        <v>12</v>
      </c>
      <c r="D1" s="5" t="s">
        <v>16</v>
      </c>
      <c r="E1" s="5" t="s">
        <v>20</v>
      </c>
      <c r="F1" s="5" t="s">
        <v>24</v>
      </c>
    </row>
    <row r="2" spans="1:6" ht="15.75" x14ac:dyDescent="0.25">
      <c r="A2" s="1" t="s">
        <v>33</v>
      </c>
      <c r="B2" s="4">
        <v>0.1</v>
      </c>
      <c r="C2" s="4">
        <v>0.08</v>
      </c>
      <c r="D2" s="4">
        <v>0.12</v>
      </c>
      <c r="E2" s="4">
        <v>0.15</v>
      </c>
      <c r="F2" s="4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B632-B81B-4977-B4C9-19996067FEDC}">
  <dimension ref="A1:J23"/>
  <sheetViews>
    <sheetView tabSelected="1" topLeftCell="A4" workbookViewId="0">
      <selection activeCell="L9" sqref="L9"/>
    </sheetView>
  </sheetViews>
  <sheetFormatPr defaultRowHeight="15" x14ac:dyDescent="0.25"/>
  <cols>
    <col min="1" max="1" width="11.7109375" bestFit="1" customWidth="1"/>
    <col min="2" max="2" width="12" bestFit="1" customWidth="1"/>
    <col min="4" max="4" width="15.7109375" bestFit="1" customWidth="1"/>
    <col min="5" max="6" width="11.7109375" bestFit="1" customWidth="1"/>
    <col min="7" max="7" width="8.42578125" bestFit="1" customWidth="1"/>
    <col min="8" max="9" width="12.140625" bestFit="1" customWidth="1"/>
    <col min="10" max="10" width="11.5703125" bestFit="1" customWidth="1"/>
  </cols>
  <sheetData>
    <row r="1" spans="1:10" x14ac:dyDescent="0.25">
      <c r="A1" s="12" t="s">
        <v>34</v>
      </c>
      <c r="B1" s="13"/>
      <c r="C1" s="7"/>
      <c r="D1" s="8"/>
      <c r="E1" s="8"/>
    </row>
    <row r="2" spans="1:10" x14ac:dyDescent="0.25">
      <c r="A2" s="6" t="s">
        <v>0</v>
      </c>
      <c r="B2" s="6" t="s">
        <v>1</v>
      </c>
      <c r="D2" s="6" t="s">
        <v>0</v>
      </c>
      <c r="E2" s="6" t="s">
        <v>2</v>
      </c>
      <c r="I2" s="6" t="s">
        <v>35</v>
      </c>
      <c r="J2" s="6" t="s">
        <v>38</v>
      </c>
    </row>
    <row r="3" spans="1:10" x14ac:dyDescent="0.25">
      <c r="A3" s="2" t="s">
        <v>14</v>
      </c>
      <c r="B3" s="2" t="str">
        <f>VLOOKUP(A3,Employee_Data!A2:B9,2,0)</f>
        <v>Rohit Verma</v>
      </c>
      <c r="D3" s="2" t="s">
        <v>14</v>
      </c>
      <c r="E3" s="2" t="str">
        <f>VLOOKUP(D3,Employee_Data!A2:C9,3,0)</f>
        <v>IT</v>
      </c>
      <c r="I3" s="2" t="s">
        <v>6</v>
      </c>
      <c r="J3" s="2">
        <f>VLOOKUP(I3,Employee_Data!A2:F9,6,0)</f>
        <v>2019</v>
      </c>
    </row>
    <row r="6" spans="1:10" x14ac:dyDescent="0.25">
      <c r="A6" s="6" t="s">
        <v>1</v>
      </c>
      <c r="B6" s="6" t="s">
        <v>4</v>
      </c>
      <c r="D6" s="6" t="s">
        <v>35</v>
      </c>
      <c r="E6" s="6" t="s">
        <v>36</v>
      </c>
    </row>
    <row r="7" spans="1:10" x14ac:dyDescent="0.25">
      <c r="A7" s="2" t="s">
        <v>19</v>
      </c>
      <c r="B7" s="2">
        <f>VLOOKUP(A7,Employee_Data!B2:E9,4,0)</f>
        <v>58000</v>
      </c>
      <c r="D7" s="2" t="s">
        <v>37</v>
      </c>
      <c r="E7" s="2" t="str">
        <f>IFERROR(VLOOKUP(D7,Employee_Data!A2:D9,4,0),"Not Found")</f>
        <v>Not Found</v>
      </c>
    </row>
    <row r="11" spans="1:10" x14ac:dyDescent="0.25">
      <c r="A11" s="6" t="s">
        <v>2</v>
      </c>
      <c r="B11" s="6" t="s">
        <v>33</v>
      </c>
      <c r="E11" s="9" t="s">
        <v>0</v>
      </c>
      <c r="F11" s="9" t="s">
        <v>2</v>
      </c>
      <c r="G11" s="9" t="s">
        <v>39</v>
      </c>
      <c r="H11" s="9" t="s">
        <v>4</v>
      </c>
      <c r="I11" s="9" t="s">
        <v>45</v>
      </c>
    </row>
    <row r="12" spans="1:10" x14ac:dyDescent="0.25">
      <c r="A12" s="2" t="s">
        <v>8</v>
      </c>
      <c r="B12" s="3">
        <f>HLOOKUP(A12,Department_Bonus!A1:F2,COLUMNS(Search_Input!$A$11:$B$11),0)</f>
        <v>0.1</v>
      </c>
      <c r="E12" t="s">
        <v>10</v>
      </c>
      <c r="F12" t="str">
        <f>IFERROR(VLOOKUP(E12,Employee_Data!$A$2:$C$9,3,0),"No bonus Data")</f>
        <v>HR</v>
      </c>
      <c r="G12" s="10">
        <f>HLOOKUP(F12,Department_Bonus!$A$1:$F$2,COLUMNS(Search_Input!F11:G11),0)</f>
        <v>0.08</v>
      </c>
      <c r="H12" s="11">
        <f>VLOOKUP(E12,Employee_Data!A2:E9,5,0)</f>
        <v>52000</v>
      </c>
      <c r="I12">
        <f>H12*G12</f>
        <v>4160</v>
      </c>
    </row>
    <row r="17" spans="1:8" x14ac:dyDescent="0.25">
      <c r="A17" s="9" t="s">
        <v>40</v>
      </c>
      <c r="B17" s="9" t="s">
        <v>4</v>
      </c>
      <c r="D17" s="9" t="s">
        <v>41</v>
      </c>
      <c r="E17" s="9" t="s">
        <v>2</v>
      </c>
      <c r="F17" s="9" t="s">
        <v>42</v>
      </c>
      <c r="G17" s="9"/>
      <c r="H17" s="9"/>
    </row>
    <row r="18" spans="1:8" x14ac:dyDescent="0.25">
      <c r="A18" t="s">
        <v>18</v>
      </c>
      <c r="B18">
        <f>_xlfn.XLOOKUP(A18,Employee_Data!A2:A9,Employee_Data!E2:E9)</f>
        <v>58000</v>
      </c>
      <c r="D18" t="s">
        <v>15</v>
      </c>
      <c r="E18" t="str">
        <f>_xlfn.XLOOKUP(Search_Input!D18,Employee_Data!B2:B9,Employee_Data!C2:C9)</f>
        <v>IT</v>
      </c>
      <c r="F18" t="str">
        <f>_xlfn.XLOOKUP(D18,Employee_Data!B2:B9,Employee_Data!D2:D9)</f>
        <v>Bangalore</v>
      </c>
    </row>
    <row r="21" spans="1:8" x14ac:dyDescent="0.25">
      <c r="C21" t="s">
        <v>43</v>
      </c>
      <c r="D21" t="s">
        <v>2</v>
      </c>
      <c r="F21" s="6" t="s">
        <v>2</v>
      </c>
      <c r="G21" s="6" t="s">
        <v>39</v>
      </c>
    </row>
    <row r="22" spans="1:8" x14ac:dyDescent="0.25">
      <c r="C22" t="s">
        <v>44</v>
      </c>
      <c r="D22" t="str">
        <f>_xlfn.XLOOKUP(Search_Input!C22,Employee_Data!A2:A9,Employee_Data!C2:C9,"Employee Not Found")</f>
        <v>Employee Not Found</v>
      </c>
      <c r="F22" s="2" t="s">
        <v>16</v>
      </c>
      <c r="G22" s="3">
        <f>_xlfn.XLOOKUP(F22,Department_Bonus!A1:F1,Department_Bonus!A2:F2)</f>
        <v>0.12</v>
      </c>
    </row>
    <row r="23" spans="1:8" x14ac:dyDescent="0.25">
      <c r="G23" s="10"/>
    </row>
  </sheetData>
  <mergeCells count="1">
    <mergeCell ref="A1:B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E66ADB-285C-4BB2-846F-320C877AF105}">
          <x14:formula1>
            <xm:f>Employee_Data!$A$2:$A$9</xm:f>
          </x14:formula1>
          <xm:sqref>A3</xm:sqref>
        </x14:dataValidation>
        <x14:dataValidation type="list" allowBlank="1" showInputMessage="1" showErrorMessage="1" xr:uid="{9A2EB0C9-F10C-46DD-ADAF-E1E5843120CC}">
          <x14:formula1>
            <xm:f>Department_Bonus!$B$1:$F$1</xm:f>
          </x14:formula1>
          <xm:sqref>A12</xm:sqref>
        </x14:dataValidation>
        <x14:dataValidation type="list" allowBlank="1" showInputMessage="1" showErrorMessage="1" xr:uid="{2F5888BD-5001-423C-BBB6-DCAB74302C31}">
          <x14:formula1>
            <xm:f>Employee_Data!$B$2:$B$9</xm:f>
          </x14:formula1>
          <xm:sqref>D18</xm:sqref>
        </x14:dataValidation>
        <x14:dataValidation type="list" allowBlank="1" showInputMessage="1" showErrorMessage="1" xr:uid="{3E6F5981-5BEE-48ED-9FDF-D26E77D6B9C1}">
          <x14:formula1>
            <xm:f>Employee_Data!$A$2:$A$10</xm:f>
          </x14:formula1>
          <xm:sqref>E12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Department_Bonus</vt:lpstr>
      <vt:lpstr>Search_Input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ASDC24</dc:creator>
  <cp:lastModifiedBy>ASDC24</cp:lastModifiedBy>
  <dcterms:created xsi:type="dcterms:W3CDTF">2026-05-03T09:44:36Z</dcterms:created>
  <dcterms:modified xsi:type="dcterms:W3CDTF">2026-05-03T11:35:31Z</dcterms:modified>
</cp:coreProperties>
</file>
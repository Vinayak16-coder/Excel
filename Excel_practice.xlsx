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24\Desktop\Vinayak\"/>
    </mc:Choice>
  </mc:AlternateContent>
  <xr:revisionPtr revIDLastSave="0" documentId="13_ncr:1_{78AE916A-F15F-4B79-ACF0-787A72C1DE0B}" xr6:coauthVersionLast="47" xr6:coauthVersionMax="47" xr10:uidLastSave="{00000000-0000-0000-0000-000000000000}"/>
  <bookViews>
    <workbookView xWindow="-120" yWindow="-120" windowWidth="20730" windowHeight="11040" firstSheet="19" activeTab="21" xr2:uid="{7B226811-10E8-442B-93CE-D6B46625704C}"/>
  </bookViews>
  <sheets>
    <sheet name="Sheet1" sheetId="1" r:id="rId1"/>
    <sheet name="Sheet2" sheetId="6" r:id="rId2"/>
    <sheet name="Sheet3" sheetId="3" r:id="rId3"/>
    <sheet name="Sheet4" sheetId="4" r:id="rId4"/>
    <sheet name="Sheet5" sheetId="5" r:id="rId5"/>
    <sheet name="Sheet6" sheetId="7" r:id="rId6"/>
    <sheet name="Sheet7" sheetId="8" r:id="rId7"/>
    <sheet name="Sheet8" sheetId="9" r:id="rId8"/>
    <sheet name="Sheet9" sheetId="10" r:id="rId9"/>
    <sheet name="Sheet10" sheetId="11" r:id="rId10"/>
    <sheet name="Sheet11" sheetId="12" r:id="rId11"/>
    <sheet name="Sheet12" sheetId="13" r:id="rId12"/>
    <sheet name="Sheet13" sheetId="14" r:id="rId13"/>
    <sheet name="Sheet14" sheetId="15" r:id="rId14"/>
    <sheet name="Sheet15" sheetId="16" r:id="rId15"/>
    <sheet name="Sheet23" sheetId="24" r:id="rId16"/>
    <sheet name="Sheet16" sheetId="17" r:id="rId17"/>
    <sheet name="Sheet17" sheetId="18" r:id="rId18"/>
    <sheet name="Sheet18" sheetId="19" r:id="rId19"/>
    <sheet name="Sheet19" sheetId="20" r:id="rId20"/>
    <sheet name="Sheet20" sheetId="21" r:id="rId21"/>
    <sheet name="Sheet21" sheetId="22" r:id="rId22"/>
    <sheet name="Sheet22" sheetId="23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23" l="1"/>
  <c r="D5" i="23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3" i="23"/>
  <c r="C4" i="22"/>
  <c r="C5" i="22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3" i="22"/>
  <c r="D4" i="20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3" i="20"/>
  <c r="D6" i="18"/>
  <c r="D8" i="18"/>
  <c r="D9" i="18"/>
  <c r="D10" i="18"/>
  <c r="D16" i="18"/>
  <c r="D17" i="18"/>
  <c r="D18" i="18"/>
  <c r="D4" i="18"/>
  <c r="D3" i="18"/>
  <c r="D5" i="18"/>
  <c r="D7" i="18"/>
  <c r="D11" i="18"/>
  <c r="D12" i="18"/>
  <c r="D13" i="18"/>
  <c r="D14" i="18"/>
  <c r="D15" i="18"/>
  <c r="D19" i="18"/>
  <c r="D20" i="18"/>
  <c r="D21" i="18"/>
  <c r="D22" i="18"/>
  <c r="D9" i="17"/>
  <c r="D10" i="17"/>
  <c r="D14" i="17"/>
  <c r="D4" i="17"/>
  <c r="D5" i="17"/>
  <c r="D6" i="17"/>
  <c r="D11" i="17"/>
  <c r="D12" i="17"/>
  <c r="D13" i="17"/>
  <c r="D19" i="17"/>
  <c r="D20" i="17"/>
  <c r="D21" i="17"/>
  <c r="D22" i="17"/>
  <c r="D3" i="17"/>
  <c r="D7" i="17"/>
  <c r="D8" i="17"/>
  <c r="D15" i="17"/>
  <c r="D16" i="17"/>
  <c r="D17" i="17"/>
  <c r="D18" i="17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3" i="16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3" i="15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3" i="14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" i="12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" i="12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8" i="13"/>
  <c r="D4" i="13"/>
  <c r="D5" i="13"/>
  <c r="D6" i="13"/>
  <c r="D7" i="13"/>
  <c r="D3" i="13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3" i="10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3" i="9"/>
  <c r="B25" i="8"/>
  <c r="B24" i="8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3" i="7"/>
  <c r="G3" i="7"/>
  <c r="C27" i="6"/>
  <c r="C26" i="6"/>
  <c r="C25" i="6"/>
  <c r="C24" i="6"/>
  <c r="C23" i="6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3" i="5"/>
  <c r="G5" i="4"/>
  <c r="G13" i="4"/>
  <c r="G18" i="4"/>
  <c r="G21" i="4"/>
  <c r="F4" i="4"/>
  <c r="G4" i="4" s="1"/>
  <c r="F5" i="4"/>
  <c r="F6" i="4"/>
  <c r="G6" i="4" s="1"/>
  <c r="F7" i="4"/>
  <c r="G7" i="4" s="1"/>
  <c r="F8" i="4"/>
  <c r="G8" i="4" s="1"/>
  <c r="F9" i="4"/>
  <c r="G9" i="4" s="1"/>
  <c r="F10" i="4"/>
  <c r="G10" i="4" s="1"/>
  <c r="F11" i="4"/>
  <c r="G11" i="4" s="1"/>
  <c r="F12" i="4"/>
  <c r="G12" i="4" s="1"/>
  <c r="F13" i="4"/>
  <c r="F14" i="4"/>
  <c r="G14" i="4" s="1"/>
  <c r="F15" i="4"/>
  <c r="G15" i="4" s="1"/>
  <c r="F16" i="4"/>
  <c r="G16" i="4" s="1"/>
  <c r="F17" i="4"/>
  <c r="G17" i="4" s="1"/>
  <c r="F18" i="4"/>
  <c r="F19" i="4"/>
  <c r="G19" i="4" s="1"/>
  <c r="F20" i="4"/>
  <c r="G20" i="4" s="1"/>
  <c r="F21" i="4"/>
  <c r="F22" i="4"/>
  <c r="G22" i="4" s="1"/>
  <c r="F3" i="4"/>
  <c r="G3" i="4" s="1"/>
  <c r="C26" i="5" l="1"/>
  <c r="C24" i="5"/>
  <c r="C25" i="5"/>
  <c r="C23" i="5"/>
</calcChain>
</file>

<file path=xl/sharedStrings.xml><?xml version="1.0" encoding="utf-8"?>
<sst xmlns="http://schemas.openxmlformats.org/spreadsheetml/2006/main" count="809" uniqueCount="239">
  <si>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</si>
  <si>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</si>
  <si>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</si>
  <si>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</si>
  <si>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</si>
  <si>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</si>
  <si>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</si>
  <si>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</si>
  <si>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</si>
  <si>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</si>
  <si>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</si>
  <si>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</si>
  <si>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</si>
  <si>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E104</t>
  </si>
  <si>
    <t>Pooja Singh</t>
  </si>
  <si>
    <t>E105</t>
  </si>
  <si>
    <t>Ankit Patel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</si>
  <si>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</si>
  <si>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</si>
  <si>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</si>
  <si>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</si>
  <si>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</si>
  <si>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</si>
  <si>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</si>
  <si>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</si>
  <si>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</si>
  <si>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</si>
  <si>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</si>
  <si>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</si>
  <si>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</si>
  <si>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</si>
  <si>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</si>
  <si>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Jaydev Unadkat</t>
  </si>
  <si>
    <t>Harish Sharma</t>
  </si>
  <si>
    <t>Vishal Singh</t>
  </si>
  <si>
    <t>Sumit Kumar</t>
  </si>
  <si>
    <t>Anish Bhardwaj</t>
  </si>
  <si>
    <t>Ravi Tilawat</t>
  </si>
  <si>
    <t>Kamlesh Singh</t>
  </si>
  <si>
    <t>Namra Waghani</t>
  </si>
  <si>
    <t>Mokshil Gupta</t>
  </si>
  <si>
    <t>Krish Soni</t>
  </si>
  <si>
    <t>Sameer Chandwani</t>
  </si>
  <si>
    <t>Virat Kohli</t>
  </si>
  <si>
    <t>Sameer Dubey</t>
  </si>
  <si>
    <t>Jagdish Prasad</t>
  </si>
  <si>
    <t>Avinash Chaubey</t>
  </si>
  <si>
    <t>Accounts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</si>
  <si>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</si>
  <si>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</si>
  <si>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</si>
  <si>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</si>
  <si>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</si>
  <si>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</si>
  <si>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</si>
  <si>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</si>
  <si>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</si>
  <si>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</si>
  <si>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</si>
  <si>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</si>
  <si>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</si>
  <si>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</si>
  <si>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</si>
  <si>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</si>
  <si>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 xml:space="preserve">Monthly Sales Report </t>
  </si>
  <si>
    <t>Roll No</t>
  </si>
  <si>
    <t>Student Name</t>
  </si>
  <si>
    <t>Maths</t>
  </si>
  <si>
    <t>Science</t>
  </si>
  <si>
    <t>English</t>
  </si>
  <si>
    <t>Percentage</t>
  </si>
  <si>
    <t>Total</t>
  </si>
  <si>
    <t>Student Details</t>
  </si>
  <si>
    <t>Sales Summary</t>
  </si>
  <si>
    <t>Invoice No</t>
  </si>
  <si>
    <t>Date</t>
  </si>
  <si>
    <t xml:space="preserve">Sales Amount 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</si>
  <si>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</si>
  <si>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</si>
  <si>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</si>
  <si>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</si>
  <si>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</si>
  <si>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</si>
  <si>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</si>
  <si>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</si>
  <si>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</si>
  <si>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</si>
  <si>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</si>
  <si>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</si>
  <si>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</si>
  <si>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</si>
  <si>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</si>
  <si>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</si>
  <si>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</si>
  <si>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</si>
  <si>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</si>
  <si>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</si>
  <si>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Average</t>
  </si>
  <si>
    <t>Count</t>
  </si>
  <si>
    <t>Highest</t>
  </si>
  <si>
    <t>Lowest</t>
  </si>
  <si>
    <t>Department wise Salary  Analysis</t>
  </si>
  <si>
    <t>Employee Name</t>
  </si>
  <si>
    <t>Karan</t>
  </si>
  <si>
    <t>Suresh</t>
  </si>
  <si>
    <t>Meena</t>
  </si>
  <si>
    <t>Ritu</t>
  </si>
  <si>
    <t>FINANCE</t>
  </si>
  <si>
    <t>Salary (IT)</t>
  </si>
  <si>
    <t>Salary (HR)</t>
  </si>
  <si>
    <t>Salary (FINANCE)</t>
  </si>
  <si>
    <t>Average Salary</t>
  </si>
  <si>
    <t>Students Attendance Sheet</t>
  </si>
  <si>
    <t>Day 1</t>
  </si>
  <si>
    <t>Day 2</t>
  </si>
  <si>
    <t>Day 3</t>
  </si>
  <si>
    <t>Day 4</t>
  </si>
  <si>
    <t>Day 5</t>
  </si>
  <si>
    <t>A</t>
  </si>
  <si>
    <t>P</t>
  </si>
  <si>
    <t>Present Days</t>
  </si>
  <si>
    <t>Absent Days</t>
  </si>
  <si>
    <r>
      <t xml:space="preserve"> </t>
    </r>
    <r>
      <rPr>
        <b/>
        <sz val="12"/>
        <color theme="1"/>
        <rFont val="Times New Roman"/>
        <family val="1"/>
      </rPr>
      <t>Sales Count Logic</t>
    </r>
  </si>
  <si>
    <t>Order ID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</si>
  <si>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</si>
  <si>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</si>
  <si>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</si>
  <si>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</si>
  <si>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</si>
  <si>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</si>
  <si>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</si>
  <si>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</si>
  <si>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</si>
  <si>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</si>
  <si>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</si>
  <si>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</si>
  <si>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</si>
  <si>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</si>
  <si>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</si>
  <si>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</si>
  <si>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</si>
  <si>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</si>
  <si>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</si>
  <si>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</si>
  <si>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Sales&gt;10000</t>
  </si>
  <si>
    <t>Sales&lt;5000</t>
  </si>
  <si>
    <t>Conditional Formatting</t>
  </si>
  <si>
    <t>Product</t>
  </si>
  <si>
    <t>tablet</t>
  </si>
  <si>
    <t>keyboard</t>
  </si>
  <si>
    <t>Mobile</t>
  </si>
  <si>
    <t>Laptop</t>
  </si>
  <si>
    <t>Headphones</t>
  </si>
  <si>
    <t>Students Result highlight</t>
  </si>
  <si>
    <t>Marks</t>
  </si>
  <si>
    <t xml:space="preserve">Employee Name </t>
  </si>
  <si>
    <t>Raw Email</t>
  </si>
  <si>
    <t>Email</t>
  </si>
  <si>
    <t>Username</t>
  </si>
  <si>
    <t>Domain</t>
  </si>
  <si>
    <t>arjun.patel92@gmail.com</t>
  </si>
  <si>
    <t>neha.verma.design@outlook.com</t>
  </si>
  <si>
    <t>techguru_rahul@yahoo.com</t>
  </si>
  <si>
    <t>priya.kapoor@protonmail.com</t>
  </si>
  <si>
    <t>devansh.mehta@icloud.com</t>
  </si>
  <si>
    <t>curiousmind123@zoho.com</t>
  </si>
  <si>
    <t>ankit.shah.dev@mail.com</t>
  </si>
  <si>
    <t>simran.kaur88@aol.com</t>
  </si>
  <si>
    <t>rohan.das@fastmail.com</t>
  </si>
  <si>
    <t>learning.with.ria@gmx.com</t>
  </si>
  <si>
    <t>yash_trivedi@rediffmail.com</t>
  </si>
  <si>
    <t>coder.vikas@tutanota.com</t>
  </si>
  <si>
    <t>sneha.joshi@live.com</t>
  </si>
  <si>
    <t>rajdeep.singh@inbox.com</t>
  </si>
  <si>
    <t>digital.nomad.adi@hey.com</t>
  </si>
  <si>
    <t>kavya.nair@hushmail.com</t>
  </si>
  <si>
    <t>amitabh_rocks@lycos.com</t>
  </si>
  <si>
    <t>shreya.banerjee@web.de</t>
  </si>
  <si>
    <t>future.ceo.manav@posteo.net</t>
  </si>
  <si>
    <t>nisha.creates@runbox.com</t>
  </si>
  <si>
    <t>Faculty Name</t>
  </si>
  <si>
    <t>Class Conducted</t>
  </si>
  <si>
    <t>Attendance %</t>
  </si>
  <si>
    <t>Performance</t>
  </si>
  <si>
    <t>Rajesh</t>
  </si>
  <si>
    <t>Sunita</t>
  </si>
  <si>
    <t>Manoj</t>
  </si>
  <si>
    <t xml:space="preserve">Kavita </t>
  </si>
  <si>
    <t>Anil</t>
  </si>
  <si>
    <t>Rajveer</t>
  </si>
  <si>
    <t>Perfomance using logical operators</t>
  </si>
  <si>
    <t>Logical formulas</t>
  </si>
  <si>
    <t>Result</t>
  </si>
  <si>
    <t>Salary Bonus Check</t>
  </si>
  <si>
    <t>Bonus Status</t>
  </si>
  <si>
    <t>Aarav Sharma</t>
  </si>
  <si>
    <t>Kavya Iyer</t>
  </si>
  <si>
    <t>Rohan Mehta</t>
  </si>
  <si>
    <t>Sneha Patel</t>
  </si>
  <si>
    <t>Arjun Reddy</t>
  </si>
  <si>
    <t>Neha Gupta</t>
  </si>
  <si>
    <t>Vikram Singh</t>
  </si>
  <si>
    <t>Priya Nair</t>
  </si>
  <si>
    <t>Rahul Verma</t>
  </si>
  <si>
    <t>Ananya Das</t>
  </si>
  <si>
    <t>Karan Malhotra</t>
  </si>
  <si>
    <t>Pooja Chatterjee</t>
  </si>
  <si>
    <t>Aditya Joshi</t>
  </si>
  <si>
    <t>Meera Kulkarni</t>
  </si>
  <si>
    <t>Siddharth Jain</t>
  </si>
  <si>
    <t>Isha Kapoor</t>
  </si>
  <si>
    <t>Dev Patel</t>
  </si>
  <si>
    <t>Tanvi Desai</t>
  </si>
  <si>
    <t>Manish Tiwari</t>
  </si>
  <si>
    <t>Riya Sen</t>
  </si>
  <si>
    <t>Grade</t>
  </si>
  <si>
    <t>Nestede IF</t>
  </si>
  <si>
    <t>Age</t>
  </si>
  <si>
    <t>Experience(Years)</t>
  </si>
  <si>
    <t>Eligible</t>
  </si>
  <si>
    <t>Assignment Submitted</t>
  </si>
  <si>
    <t>Exam Eligibility</t>
  </si>
  <si>
    <t>Customer Name</t>
  </si>
  <si>
    <t>Purchase Amount</t>
  </si>
  <si>
    <t>Membership</t>
  </si>
  <si>
    <t>Discount</t>
  </si>
  <si>
    <t>No</t>
  </si>
  <si>
    <t>Yes</t>
  </si>
  <si>
    <t>No Discount</t>
  </si>
  <si>
    <t>Applicant</t>
  </si>
  <si>
    <t>CIBIL Score</t>
  </si>
  <si>
    <t>Loan Status</t>
  </si>
  <si>
    <t>Present</t>
  </si>
  <si>
    <t>Status</t>
  </si>
  <si>
    <t>Absent</t>
  </si>
  <si>
    <t>Number 1</t>
  </si>
  <si>
    <t>Number 2</t>
  </si>
  <si>
    <t>targets Achieved</t>
  </si>
  <si>
    <t>Data Set Combined logic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</si>
</sst>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theme="1"/>
      <name val="Segoe UI"/>
      <family val="2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b/>
      <sz val="16"/>
      <color theme="1"/>
      <name val="Segoe UI"/>
      <family val="2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14" fontId="1" fillId="2" borderId="2" xfId="0" applyNumberFormat="1" applyFont="1" applyFill="1" applyBorder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indent="1"/>
    </xf>
    <xf numFmtId="164" fontId="1" fillId="2" borderId="1" xfId="0" applyNumberFormat="1" applyFont="1" applyFill="1" applyBorder="1" applyAlignment="1">
      <alignment horizontal="left" vertical="center" wrapText="1" indent="1"/>
    </xf>
    <xf numFmtId="14" fontId="1" fillId="2" borderId="1" xfId="0" applyNumberFormat="1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indent="1"/>
    </xf>
    <xf numFmtId="0" fontId="4" fillId="0" borderId="0" xfId="0" applyFont="1"/>
    <xf numFmtId="0" fontId="6" fillId="0" borderId="0" xfId="0" applyFont="1"/>
    <xf numFmtId="0" fontId="7" fillId="0" borderId="0" xfId="0" applyFont="1"/>
    <xf numFmtId="164" fontId="6" fillId="0" borderId="0" xfId="0" applyNumberFormat="1" applyFont="1"/>
    <xf numFmtId="0" fontId="7" fillId="0" borderId="1" xfId="0" applyFont="1" applyBorder="1"/>
    <xf numFmtId="16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/>
    <xf numFmtId="164" fontId="6" fillId="0" borderId="1" xfId="0" applyNumberFormat="1" applyFont="1" applyBorder="1"/>
    <xf numFmtId="0" fontId="5" fillId="0" borderId="1" xfId="0" applyFont="1" applyBorder="1"/>
    <xf numFmtId="165" fontId="5" fillId="0" borderId="1" xfId="0" applyNumberFormat="1" applyFont="1" applyBorder="1"/>
    <xf numFmtId="2" fontId="5" fillId="0" borderId="1" xfId="0" applyNumberFormat="1" applyFont="1" applyBorder="1"/>
    <xf numFmtId="0" fontId="4" fillId="0" borderId="1" xfId="0" applyFont="1" applyBorder="1"/>
    <xf numFmtId="165" fontId="4" fillId="0" borderId="1" xfId="0" applyNumberFormat="1" applyFont="1" applyBorder="1"/>
    <xf numFmtId="2" fontId="4" fillId="0" borderId="1" xfId="0" applyNumberFormat="1" applyFont="1" applyBorder="1"/>
    <xf numFmtId="0" fontId="5" fillId="0" borderId="0" xfId="0" applyFont="1"/>
    <xf numFmtId="14" fontId="4" fillId="0" borderId="0" xfId="0" applyNumberFormat="1" applyFont="1"/>
    <xf numFmtId="164" fontId="4" fillId="0" borderId="0" xfId="0" applyNumberFormat="1" applyFont="1"/>
    <xf numFmtId="14" fontId="5" fillId="0" borderId="1" xfId="0" applyNumberFormat="1" applyFont="1" applyBorder="1"/>
    <xf numFmtId="164" fontId="5" fillId="0" borderId="1" xfId="0" applyNumberFormat="1" applyFont="1" applyBorder="1"/>
    <xf numFmtId="14" fontId="4" fillId="0" borderId="1" xfId="0" applyNumberFormat="1" applyFont="1" applyBorder="1"/>
    <xf numFmtId="164" fontId="4" fillId="0" borderId="1" xfId="0" applyNumberFormat="1" applyFont="1" applyBorder="1"/>
    <xf numFmtId="0" fontId="11" fillId="0" borderId="0" xfId="0" applyFont="1"/>
    <xf numFmtId="0" fontId="11" fillId="0" borderId="0" xfId="0" applyFont="1" applyAlignment="1">
      <alignment horizontal="center"/>
    </xf>
    <xf numFmtId="0" fontId="10" fillId="0" borderId="1" xfId="0" applyFont="1" applyBorder="1"/>
    <xf numFmtId="0" fontId="11" fillId="0" borderId="1" xfId="0" applyFont="1" applyBorder="1"/>
    <xf numFmtId="0" fontId="4" fillId="0" borderId="1" xfId="0" applyFont="1" applyBorder="1" applyAlignment="1">
      <alignment horizontal="center"/>
    </xf>
    <xf numFmtId="0" fontId="0" fillId="5" borderId="1" xfId="0" applyFill="1" applyBorder="1"/>
    <xf numFmtId="0" fontId="0" fillId="0" borderId="1" xfId="0" applyBorder="1"/>
    <xf numFmtId="0" fontId="0" fillId="0" borderId="4" xfId="0" applyFill="1" applyBorder="1"/>
    <xf numFmtId="0" fontId="0" fillId="0" borderId="5" xfId="0" applyBorder="1"/>
    <xf numFmtId="0" fontId="0" fillId="0" borderId="1" xfId="0" applyFill="1" applyBorder="1"/>
    <xf numFmtId="0" fontId="5" fillId="5" borderId="0" xfId="0" applyFont="1" applyFill="1"/>
    <xf numFmtId="0" fontId="13" fillId="0" borderId="1" xfId="0" applyFont="1" applyBorder="1"/>
    <xf numFmtId="2" fontId="0" fillId="0" borderId="1" xfId="0" applyNumberFormat="1" applyBorder="1"/>
    <xf numFmtId="164" fontId="0" fillId="0" borderId="1" xfId="0" applyNumberFormat="1" applyBorder="1"/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7"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EA6666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EA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1CE51-44F3-4CF4-8D9F-7C13C1E178D2}">
  <dimension ref="A1:F21"/>
  <sheetViews>
    <sheetView workbookViewId="0">
      <selection activeCell="B2" sqref="B2:B21"/>
    </sheetView>
  </sheetViews>
  <sheetFormatPr defaultRowHeight="15" x14ac:dyDescent="0.25"/>
  <cols>
    <col min="1" max="1" width="15.42578125" bestFit="1" customWidth="1"/>
    <col min="2" max="2" width="22.28515625" bestFit="1" customWidth="1"/>
    <col min="3" max="3" width="14.7109375" bestFit="1" customWidth="1"/>
    <col min="4" max="4" width="14.42578125" bestFit="1" customWidth="1"/>
    <col min="5" max="5" width="15.42578125" bestFit="1" customWidth="1"/>
  </cols>
  <sheetData>
    <row r="1" spans="1:6" ht="17.25" x14ac:dyDescent="0.25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spans="1:6" ht="17.25" x14ac:dyDescent="0.25">
      <c r="A2" s="5" t="s">
        <v>5</v>
      </c>
      <c r="B2" s="6" t="s">
        <v>6</v>
      </c>
      <c r="C2" s="6" t="s">
        <v>10</v>
      </c>
      <c r="D2" s="7">
        <v>31509</v>
      </c>
      <c r="E2" s="8">
        <v>45298</v>
      </c>
    </row>
    <row r="3" spans="1:6" ht="17.25" x14ac:dyDescent="0.25">
      <c r="A3" s="5" t="s">
        <v>8</v>
      </c>
      <c r="B3" s="9" t="s">
        <v>9</v>
      </c>
      <c r="C3" s="6" t="s">
        <v>7</v>
      </c>
      <c r="D3" s="7">
        <v>51196</v>
      </c>
      <c r="E3" s="8">
        <v>40398</v>
      </c>
    </row>
    <row r="4" spans="1:6" ht="17.25" x14ac:dyDescent="0.25">
      <c r="A4" s="5" t="s">
        <v>11</v>
      </c>
      <c r="B4" s="6" t="s">
        <v>12</v>
      </c>
      <c r="C4" s="6" t="s">
        <v>10</v>
      </c>
      <c r="D4" s="7">
        <v>50697</v>
      </c>
      <c r="E4" s="8">
        <v>43810</v>
      </c>
    </row>
    <row r="5" spans="1:6" ht="17.25" x14ac:dyDescent="0.25">
      <c r="A5" s="5" t="s">
        <v>13</v>
      </c>
      <c r="B5" s="9" t="s">
        <v>14</v>
      </c>
      <c r="C5" s="6" t="s">
        <v>7</v>
      </c>
      <c r="D5" s="7">
        <v>21223</v>
      </c>
      <c r="E5" s="8">
        <v>43034</v>
      </c>
    </row>
    <row r="6" spans="1:6" ht="17.25" x14ac:dyDescent="0.25">
      <c r="A6" s="5" t="s">
        <v>15</v>
      </c>
      <c r="B6" s="6" t="s">
        <v>16</v>
      </c>
      <c r="C6" s="6" t="s">
        <v>10</v>
      </c>
      <c r="D6" s="7">
        <v>54438</v>
      </c>
      <c r="E6" s="8">
        <v>44044</v>
      </c>
    </row>
    <row r="7" spans="1:6" ht="17.25" x14ac:dyDescent="0.25">
      <c r="A7" s="5" t="s">
        <v>17</v>
      </c>
      <c r="B7" s="6" t="s">
        <v>32</v>
      </c>
      <c r="C7" s="6" t="s">
        <v>7</v>
      </c>
      <c r="D7" s="7">
        <v>23962</v>
      </c>
      <c r="E7" s="8">
        <v>42767</v>
      </c>
    </row>
    <row r="8" spans="1:6" ht="17.25" x14ac:dyDescent="0.25">
      <c r="A8" s="5" t="s">
        <v>18</v>
      </c>
      <c r="B8" s="9" t="s">
        <v>33</v>
      </c>
      <c r="C8" s="6" t="s">
        <v>47</v>
      </c>
      <c r="D8" s="7">
        <v>25130</v>
      </c>
      <c r="E8" s="8">
        <v>43297</v>
      </c>
    </row>
    <row r="9" spans="1:6" ht="17.25" x14ac:dyDescent="0.25">
      <c r="A9" s="5" t="s">
        <v>19</v>
      </c>
      <c r="B9" s="6" t="s">
        <v>34</v>
      </c>
      <c r="C9" s="6" t="s">
        <v>10</v>
      </c>
      <c r="D9" s="7">
        <v>48267</v>
      </c>
      <c r="E9" s="8">
        <v>43809</v>
      </c>
    </row>
    <row r="10" spans="1:6" ht="17.25" x14ac:dyDescent="0.25">
      <c r="A10" s="5" t="s">
        <v>20</v>
      </c>
      <c r="B10" s="6" t="s">
        <v>35</v>
      </c>
      <c r="C10" s="6" t="s">
        <v>47</v>
      </c>
      <c r="D10" s="7">
        <v>37561</v>
      </c>
      <c r="E10" s="8">
        <v>42211</v>
      </c>
    </row>
    <row r="11" spans="1:6" ht="18" thickBot="1" x14ac:dyDescent="0.3">
      <c r="A11" s="5" t="s">
        <v>21</v>
      </c>
      <c r="B11" s="6" t="s">
        <v>36</v>
      </c>
      <c r="C11" s="6" t="s">
        <v>10</v>
      </c>
      <c r="D11" s="7">
        <v>43967</v>
      </c>
      <c r="E11" s="8">
        <v>43575</v>
      </c>
    </row>
    <row r="12" spans="1:6" ht="18" thickBot="1" x14ac:dyDescent="0.3">
      <c r="A12" s="5" t="s">
        <v>22</v>
      </c>
      <c r="B12" s="5" t="s">
        <v>37</v>
      </c>
      <c r="C12" s="6" t="s">
        <v>10</v>
      </c>
      <c r="D12" s="7">
        <v>35466</v>
      </c>
      <c r="E12" s="8">
        <v>42750</v>
      </c>
      <c r="F12" s="1"/>
    </row>
    <row r="13" spans="1:6" ht="17.25" x14ac:dyDescent="0.25">
      <c r="A13" s="5" t="s">
        <v>23</v>
      </c>
      <c r="B13" s="6" t="s">
        <v>38</v>
      </c>
      <c r="C13" s="6" t="s">
        <v>47</v>
      </c>
      <c r="D13" s="7">
        <v>37358</v>
      </c>
      <c r="E13" s="8">
        <v>46080</v>
      </c>
    </row>
    <row r="14" spans="1:6" ht="17.25" x14ac:dyDescent="0.25">
      <c r="A14" s="5" t="s">
        <v>24</v>
      </c>
      <c r="B14" s="9" t="s">
        <v>39</v>
      </c>
      <c r="C14" s="6" t="s">
        <v>47</v>
      </c>
      <c r="D14" s="7">
        <v>33187</v>
      </c>
      <c r="E14" s="8">
        <v>45283</v>
      </c>
    </row>
    <row r="15" spans="1:6" ht="17.25" x14ac:dyDescent="0.25">
      <c r="A15" s="5" t="s">
        <v>25</v>
      </c>
      <c r="B15" s="6" t="s">
        <v>40</v>
      </c>
      <c r="C15" s="6" t="s">
        <v>47</v>
      </c>
      <c r="D15" s="7">
        <v>27311</v>
      </c>
      <c r="E15" s="8">
        <v>43824</v>
      </c>
    </row>
    <row r="16" spans="1:6" ht="17.25" x14ac:dyDescent="0.25">
      <c r="A16" s="5" t="s">
        <v>26</v>
      </c>
      <c r="B16" s="9" t="s">
        <v>41</v>
      </c>
      <c r="C16" s="6" t="s">
        <v>47</v>
      </c>
      <c r="D16" s="7">
        <v>39875</v>
      </c>
      <c r="E16" s="8">
        <v>45192</v>
      </c>
    </row>
    <row r="17" spans="1:5" ht="17.25" x14ac:dyDescent="0.25">
      <c r="A17" s="5" t="s">
        <v>27</v>
      </c>
      <c r="B17" s="6" t="s">
        <v>42</v>
      </c>
      <c r="C17" s="6" t="s">
        <v>10</v>
      </c>
      <c r="D17" s="7">
        <v>26036</v>
      </c>
      <c r="E17" s="8">
        <v>43384</v>
      </c>
    </row>
    <row r="18" spans="1:5" ht="17.25" x14ac:dyDescent="0.25">
      <c r="A18" s="5" t="s">
        <v>28</v>
      </c>
      <c r="B18" s="9" t="s">
        <v>43</v>
      </c>
      <c r="C18" s="6" t="s">
        <v>47</v>
      </c>
      <c r="D18" s="7">
        <v>44695</v>
      </c>
      <c r="E18" s="8">
        <v>40517</v>
      </c>
    </row>
    <row r="19" spans="1:5" ht="17.25" x14ac:dyDescent="0.25">
      <c r="A19" s="5" t="s">
        <v>29</v>
      </c>
      <c r="B19" s="6" t="s">
        <v>44</v>
      </c>
      <c r="C19" s="6" t="s">
        <v>10</v>
      </c>
      <c r="D19" s="7">
        <v>33089</v>
      </c>
      <c r="E19" s="8">
        <v>44366</v>
      </c>
    </row>
    <row r="20" spans="1:5" ht="17.25" x14ac:dyDescent="0.25">
      <c r="A20" s="5" t="s">
        <v>30</v>
      </c>
      <c r="B20" s="9" t="s">
        <v>45</v>
      </c>
      <c r="C20" s="6" t="s">
        <v>10</v>
      </c>
      <c r="D20" s="7">
        <v>26069</v>
      </c>
      <c r="E20" s="8">
        <v>41253</v>
      </c>
    </row>
    <row r="21" spans="1:5" ht="17.25" x14ac:dyDescent="0.25">
      <c r="A21" s="5" t="s">
        <v>31</v>
      </c>
      <c r="B21" s="6" t="s">
        <v>46</v>
      </c>
      <c r="C21" s="6" t="s">
        <v>47</v>
      </c>
      <c r="D21" s="7">
        <v>35996</v>
      </c>
      <c r="E21" s="8">
        <v>43332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3B9DB-AD58-4243-A3CB-79D8E11F9857}">
  <dimension ref="A1:F27"/>
  <sheetViews>
    <sheetView workbookViewId="0">
      <selection activeCell="I20" sqref="I20"/>
    </sheetView>
  </sheetViews>
  <sheetFormatPr defaultColWidth="8.85546875" defaultRowHeight="15" x14ac:dyDescent="0.25"/>
  <cols>
    <col min="1" max="1" width="15.140625" style="32" bestFit="1" customWidth="1"/>
    <col min="2" max="2" width="11.28515625" style="32" bestFit="1" customWidth="1"/>
    <col min="3" max="3" width="14.28515625" style="32" customWidth="1"/>
    <col min="4" max="16384" width="8.85546875" style="32"/>
  </cols>
  <sheetData>
    <row r="1" spans="1:3" ht="18.75" x14ac:dyDescent="0.3">
      <c r="A1" s="47" t="s">
        <v>101</v>
      </c>
      <c r="B1" s="47"/>
      <c r="C1" s="47"/>
    </row>
    <row r="2" spans="1:3" x14ac:dyDescent="0.25">
      <c r="A2" s="34" t="s">
        <v>102</v>
      </c>
      <c r="B2" s="34" t="s">
        <v>2</v>
      </c>
      <c r="C2" s="34" t="s">
        <v>3</v>
      </c>
    </row>
    <row r="3" spans="1:3" x14ac:dyDescent="0.25">
      <c r="A3" s="35" t="s">
        <v>104</v>
      </c>
      <c r="B3" s="35" t="s">
        <v>10</v>
      </c>
      <c r="C3" s="35">
        <v>22973</v>
      </c>
    </row>
    <row r="4" spans="1:3" x14ac:dyDescent="0.25">
      <c r="A4" s="35" t="s">
        <v>105</v>
      </c>
      <c r="B4" s="35" t="s">
        <v>7</v>
      </c>
      <c r="C4" s="35">
        <v>35011</v>
      </c>
    </row>
    <row r="5" spans="1:3" x14ac:dyDescent="0.25">
      <c r="A5" s="35" t="s">
        <v>104</v>
      </c>
      <c r="B5" s="35" t="s">
        <v>107</v>
      </c>
      <c r="C5" s="35">
        <v>58285</v>
      </c>
    </row>
    <row r="6" spans="1:3" x14ac:dyDescent="0.25">
      <c r="A6" s="35" t="s">
        <v>104</v>
      </c>
      <c r="B6" s="35" t="s">
        <v>10</v>
      </c>
      <c r="C6" s="35">
        <v>30311</v>
      </c>
    </row>
    <row r="7" spans="1:3" x14ac:dyDescent="0.25">
      <c r="A7" s="35" t="s">
        <v>104</v>
      </c>
      <c r="B7" s="35" t="s">
        <v>10</v>
      </c>
      <c r="C7" s="35">
        <v>51206</v>
      </c>
    </row>
    <row r="8" spans="1:3" x14ac:dyDescent="0.25">
      <c r="A8" s="35" t="s">
        <v>106</v>
      </c>
      <c r="B8" s="35" t="s">
        <v>7</v>
      </c>
      <c r="C8" s="35">
        <v>30082</v>
      </c>
    </row>
    <row r="9" spans="1:3" x14ac:dyDescent="0.25">
      <c r="A9" s="35" t="s">
        <v>105</v>
      </c>
      <c r="B9" s="35" t="s">
        <v>7</v>
      </c>
      <c r="C9" s="35">
        <v>29311</v>
      </c>
    </row>
    <row r="10" spans="1:3" x14ac:dyDescent="0.25">
      <c r="A10" s="35" t="s">
        <v>103</v>
      </c>
      <c r="B10" s="35" t="s">
        <v>107</v>
      </c>
      <c r="C10" s="35">
        <v>65463</v>
      </c>
    </row>
    <row r="11" spans="1:3" x14ac:dyDescent="0.25">
      <c r="A11" s="35" t="s">
        <v>106</v>
      </c>
      <c r="B11" s="35" t="s">
        <v>107</v>
      </c>
      <c r="C11" s="35">
        <v>41654</v>
      </c>
    </row>
    <row r="12" spans="1:3" x14ac:dyDescent="0.25">
      <c r="A12" s="35" t="s">
        <v>103</v>
      </c>
      <c r="B12" s="35" t="s">
        <v>107</v>
      </c>
      <c r="C12" s="35">
        <v>45288</v>
      </c>
    </row>
    <row r="13" spans="1:3" x14ac:dyDescent="0.25">
      <c r="A13" s="35" t="s">
        <v>103</v>
      </c>
      <c r="B13" s="35" t="s">
        <v>10</v>
      </c>
      <c r="C13" s="35">
        <v>21105</v>
      </c>
    </row>
    <row r="14" spans="1:3" x14ac:dyDescent="0.25">
      <c r="A14" s="35" t="s">
        <v>103</v>
      </c>
      <c r="B14" s="35" t="s">
        <v>107</v>
      </c>
      <c r="C14" s="35">
        <v>29320</v>
      </c>
    </row>
    <row r="15" spans="1:3" x14ac:dyDescent="0.25">
      <c r="A15" s="35" t="s">
        <v>103</v>
      </c>
      <c r="B15" s="35" t="s">
        <v>10</v>
      </c>
      <c r="C15" s="35">
        <v>24210</v>
      </c>
    </row>
    <row r="16" spans="1:3" x14ac:dyDescent="0.25">
      <c r="A16" s="35" t="s">
        <v>104</v>
      </c>
      <c r="B16" s="35" t="s">
        <v>107</v>
      </c>
      <c r="C16" s="35">
        <v>52890</v>
      </c>
    </row>
    <row r="17" spans="1:6" x14ac:dyDescent="0.25">
      <c r="A17" s="35" t="s">
        <v>106</v>
      </c>
      <c r="B17" s="35" t="s">
        <v>10</v>
      </c>
      <c r="C17" s="35">
        <v>48467</v>
      </c>
    </row>
    <row r="18" spans="1:6" x14ac:dyDescent="0.25">
      <c r="A18" s="35" t="s">
        <v>103</v>
      </c>
      <c r="B18" s="35" t="s">
        <v>7</v>
      </c>
      <c r="C18" s="35">
        <v>49650</v>
      </c>
    </row>
    <row r="19" spans="1:6" x14ac:dyDescent="0.25">
      <c r="A19" s="35" t="s">
        <v>104</v>
      </c>
      <c r="B19" s="35" t="s">
        <v>7</v>
      </c>
      <c r="C19" s="35">
        <v>42920</v>
      </c>
    </row>
    <row r="20" spans="1:6" x14ac:dyDescent="0.25">
      <c r="A20" s="35" t="s">
        <v>104</v>
      </c>
      <c r="B20" s="35" t="s">
        <v>7</v>
      </c>
      <c r="C20" s="35">
        <v>21718</v>
      </c>
    </row>
    <row r="21" spans="1:6" x14ac:dyDescent="0.25">
      <c r="A21" s="35" t="s">
        <v>103</v>
      </c>
      <c r="B21" s="35" t="s">
        <v>10</v>
      </c>
      <c r="C21" s="35">
        <v>25389</v>
      </c>
    </row>
    <row r="22" spans="1:6" x14ac:dyDescent="0.25">
      <c r="A22" s="35" t="s">
        <v>105</v>
      </c>
      <c r="B22" s="35" t="s">
        <v>107</v>
      </c>
      <c r="C22" s="35">
        <v>45198</v>
      </c>
    </row>
    <row r="23" spans="1:6" x14ac:dyDescent="0.25">
      <c r="A23" s="46" t="s">
        <v>108</v>
      </c>
      <c r="B23" s="46"/>
      <c r="C23" s="35">
        <f>SUMIF(B3:B22,"IT",C3:C22)</f>
        <v>223661</v>
      </c>
    </row>
    <row r="24" spans="1:6" x14ac:dyDescent="0.25">
      <c r="A24" s="46" t="s">
        <v>109</v>
      </c>
      <c r="B24" s="48"/>
      <c r="C24" s="35">
        <f>SUMIF(B3:B22,"HR",C3:C22)</f>
        <v>208692</v>
      </c>
      <c r="E24" s="33"/>
      <c r="F24" s="33"/>
    </row>
    <row r="25" spans="1:6" x14ac:dyDescent="0.25">
      <c r="A25" s="46" t="s">
        <v>110</v>
      </c>
      <c r="B25" s="46"/>
      <c r="C25" s="35">
        <f>SUMIF(B3:B22,"FINANCE",C3:C22)</f>
        <v>338098</v>
      </c>
      <c r="E25" s="33"/>
      <c r="F25" s="33"/>
    </row>
    <row r="26" spans="1:6" x14ac:dyDescent="0.25">
      <c r="A26" s="46" t="s">
        <v>111</v>
      </c>
      <c r="B26" s="46"/>
      <c r="C26" s="35">
        <f>AVERAGE(C3:C22)</f>
        <v>38522.550000000003</v>
      </c>
    </row>
    <row r="27" spans="1:6" x14ac:dyDescent="0.25">
      <c r="A27" s="46" t="s">
        <v>98</v>
      </c>
      <c r="B27" s="46"/>
      <c r="C27" s="35">
        <f>COUNTA(A3:A22)</f>
        <v>20</v>
      </c>
    </row>
  </sheetData>
  <mergeCells count="6">
    <mergeCell ref="A27:B27"/>
    <mergeCell ref="A1:C1"/>
    <mergeCell ref="A23:B23"/>
    <mergeCell ref="A24:B24"/>
    <mergeCell ref="A25:B25"/>
    <mergeCell ref="A26:B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DBEE5-CB8F-49C5-9FDB-FB34A20A3D23}">
  <dimension ref="A1:E21"/>
  <sheetViews>
    <sheetView workbookViewId="0">
      <selection activeCell="G6" sqref="G6"/>
    </sheetView>
  </sheetViews>
  <sheetFormatPr defaultColWidth="9.140625" defaultRowHeight="17.25" x14ac:dyDescent="0.3"/>
  <cols>
    <col min="1" max="1" width="27.85546875" style="11" bestFit="1" customWidth="1"/>
    <col min="2" max="2" width="9" style="11" bestFit="1" customWidth="1"/>
    <col min="3" max="3" width="16.42578125" style="13" bestFit="1" customWidth="1"/>
    <col min="4" max="4" width="14.42578125" style="11" bestFit="1" customWidth="1"/>
    <col min="5" max="16384" width="9.140625" style="11"/>
  </cols>
  <sheetData>
    <row r="1" spans="1:5" ht="25.5" x14ac:dyDescent="0.5">
      <c r="A1" s="49" t="s">
        <v>64</v>
      </c>
      <c r="B1" s="49"/>
      <c r="C1" s="49"/>
      <c r="D1" s="49"/>
    </row>
    <row r="2" spans="1:5" x14ac:dyDescent="0.3">
      <c r="A2" s="14" t="s">
        <v>48</v>
      </c>
      <c r="B2" s="14" t="s">
        <v>49</v>
      </c>
      <c r="C2" s="15" t="s">
        <v>50</v>
      </c>
      <c r="D2" s="14" t="s">
        <v>51</v>
      </c>
      <c r="E2" s="12"/>
    </row>
    <row r="3" spans="1:5" x14ac:dyDescent="0.3">
      <c r="A3" s="16" t="s">
        <v>58</v>
      </c>
      <c r="B3" s="17" t="s">
        <v>62</v>
      </c>
      <c r="C3" s="18">
        <v>12359</v>
      </c>
      <c r="D3" s="17" t="s">
        <v>57</v>
      </c>
    </row>
    <row r="4" spans="1:5" x14ac:dyDescent="0.3">
      <c r="A4" s="16" t="s">
        <v>58</v>
      </c>
      <c r="B4" s="17" t="s">
        <v>62</v>
      </c>
      <c r="C4" s="18">
        <v>47822</v>
      </c>
      <c r="D4" s="17" t="s">
        <v>54</v>
      </c>
    </row>
    <row r="5" spans="1:5" ht="34.5" x14ac:dyDescent="0.3">
      <c r="A5" s="16" t="s">
        <v>61</v>
      </c>
      <c r="B5" s="17" t="s">
        <v>62</v>
      </c>
      <c r="C5" s="18">
        <v>41064</v>
      </c>
      <c r="D5" s="17" t="s">
        <v>57</v>
      </c>
    </row>
    <row r="6" spans="1:5" x14ac:dyDescent="0.3">
      <c r="A6" s="16" t="s">
        <v>58</v>
      </c>
      <c r="B6" s="17" t="s">
        <v>62</v>
      </c>
      <c r="C6" s="18">
        <v>48208</v>
      </c>
      <c r="D6" s="17" t="s">
        <v>63</v>
      </c>
    </row>
    <row r="7" spans="1:5" ht="34.5" x14ac:dyDescent="0.3">
      <c r="A7" s="16" t="s">
        <v>61</v>
      </c>
      <c r="B7" s="17" t="s">
        <v>56</v>
      </c>
      <c r="C7" s="18">
        <v>33883</v>
      </c>
      <c r="D7" s="17" t="s">
        <v>54</v>
      </c>
    </row>
    <row r="8" spans="1:5" x14ac:dyDescent="0.3">
      <c r="A8" s="16" t="s">
        <v>52</v>
      </c>
      <c r="B8" s="17" t="s">
        <v>62</v>
      </c>
      <c r="C8" s="18">
        <v>38321</v>
      </c>
      <c r="D8" s="17" t="s">
        <v>57</v>
      </c>
    </row>
    <row r="9" spans="1:5" x14ac:dyDescent="0.3">
      <c r="A9" s="16" t="s">
        <v>58</v>
      </c>
      <c r="B9" s="17" t="s">
        <v>53</v>
      </c>
      <c r="C9" s="18">
        <v>20745</v>
      </c>
      <c r="D9" s="17" t="s">
        <v>60</v>
      </c>
    </row>
    <row r="10" spans="1:5" x14ac:dyDescent="0.3">
      <c r="A10" s="16" t="s">
        <v>52</v>
      </c>
      <c r="B10" s="17" t="s">
        <v>59</v>
      </c>
      <c r="C10" s="18">
        <v>30538</v>
      </c>
      <c r="D10" s="17" t="s">
        <v>63</v>
      </c>
    </row>
    <row r="11" spans="1:5" x14ac:dyDescent="0.3">
      <c r="A11" s="16" t="s">
        <v>52</v>
      </c>
      <c r="B11" s="17" t="s">
        <v>62</v>
      </c>
      <c r="C11" s="18">
        <v>7648</v>
      </c>
      <c r="D11" s="17" t="s">
        <v>60</v>
      </c>
    </row>
    <row r="12" spans="1:5" x14ac:dyDescent="0.3">
      <c r="A12" s="16" t="s">
        <v>55</v>
      </c>
      <c r="B12" s="17" t="s">
        <v>59</v>
      </c>
      <c r="C12" s="18">
        <v>26556</v>
      </c>
      <c r="D12" s="17" t="s">
        <v>60</v>
      </c>
    </row>
    <row r="13" spans="1:5" x14ac:dyDescent="0.3">
      <c r="A13" s="16" t="s">
        <v>58</v>
      </c>
      <c r="B13" s="17" t="s">
        <v>53</v>
      </c>
      <c r="C13" s="18">
        <v>40861</v>
      </c>
      <c r="D13" s="17" t="s">
        <v>54</v>
      </c>
    </row>
    <row r="14" spans="1:5" x14ac:dyDescent="0.3">
      <c r="A14" s="16" t="s">
        <v>55</v>
      </c>
      <c r="B14" s="17" t="s">
        <v>56</v>
      </c>
      <c r="C14" s="18">
        <v>17675</v>
      </c>
      <c r="D14" s="17" t="s">
        <v>57</v>
      </c>
    </row>
    <row r="15" spans="1:5" x14ac:dyDescent="0.3">
      <c r="A15" s="16" t="s">
        <v>52</v>
      </c>
      <c r="B15" s="17" t="s">
        <v>59</v>
      </c>
      <c r="C15" s="18">
        <v>9856</v>
      </c>
      <c r="D15" s="17" t="s">
        <v>54</v>
      </c>
    </row>
    <row r="16" spans="1:5" x14ac:dyDescent="0.3">
      <c r="A16" s="16" t="s">
        <v>55</v>
      </c>
      <c r="B16" s="17" t="s">
        <v>62</v>
      </c>
      <c r="C16" s="18">
        <v>12237</v>
      </c>
      <c r="D16" s="17" t="s">
        <v>57</v>
      </c>
    </row>
    <row r="17" spans="1:4" x14ac:dyDescent="0.3">
      <c r="A17" s="16" t="s">
        <v>58</v>
      </c>
      <c r="B17" s="17" t="s">
        <v>53</v>
      </c>
      <c r="C17" s="18">
        <v>33288</v>
      </c>
      <c r="D17" s="17" t="s">
        <v>54</v>
      </c>
    </row>
    <row r="18" spans="1:4" x14ac:dyDescent="0.3">
      <c r="A18" s="16" t="s">
        <v>55</v>
      </c>
      <c r="B18" s="17" t="s">
        <v>62</v>
      </c>
      <c r="C18" s="18">
        <v>49545</v>
      </c>
      <c r="D18" s="17" t="s">
        <v>60</v>
      </c>
    </row>
    <row r="19" spans="1:4" x14ac:dyDescent="0.3">
      <c r="A19" s="16" t="s">
        <v>52</v>
      </c>
      <c r="B19" s="17" t="s">
        <v>62</v>
      </c>
      <c r="C19" s="18">
        <v>18049</v>
      </c>
      <c r="D19" s="17" t="s">
        <v>57</v>
      </c>
    </row>
    <row r="20" spans="1:4" x14ac:dyDescent="0.3">
      <c r="A20" s="16" t="s">
        <v>52</v>
      </c>
      <c r="B20" s="17" t="s">
        <v>56</v>
      </c>
      <c r="C20" s="18">
        <v>22345</v>
      </c>
      <c r="D20" s="17" t="s">
        <v>57</v>
      </c>
    </row>
    <row r="21" spans="1:4" x14ac:dyDescent="0.3">
      <c r="A21" s="16" t="s">
        <v>52</v>
      </c>
      <c r="B21" s="17" t="s">
        <v>62</v>
      </c>
      <c r="C21" s="18">
        <v>9343</v>
      </c>
      <c r="D21" s="17" t="s">
        <v>60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F3328-C6E1-4004-AA50-86F5408E7E6C}">
  <dimension ref="A1:G22"/>
  <sheetViews>
    <sheetView workbookViewId="0">
      <selection sqref="A1:XFD2"/>
    </sheetView>
  </sheetViews>
  <sheetFormatPr defaultColWidth="9.140625" defaultRowHeight="15.75" x14ac:dyDescent="0.25"/>
  <cols>
    <col min="1" max="1" width="8.42578125" style="10" bestFit="1" customWidth="1"/>
    <col min="2" max="2" width="22.28515625" style="10" bestFit="1" customWidth="1"/>
    <col min="3" max="3" width="7.28515625" style="10" bestFit="1" customWidth="1"/>
    <col min="4" max="4" width="8.28515625" style="10" bestFit="1" customWidth="1"/>
    <col min="5" max="5" width="8" style="10" bestFit="1" customWidth="1"/>
    <col min="6" max="6" width="6.140625" style="10" bestFit="1" customWidth="1"/>
    <col min="7" max="7" width="11.7109375" style="10" bestFit="1" customWidth="1"/>
    <col min="8" max="16384" width="9.140625" style="10"/>
  </cols>
  <sheetData>
    <row r="1" spans="1:7" ht="20.25" x14ac:dyDescent="0.3">
      <c r="A1" s="50" t="s">
        <v>72</v>
      </c>
      <c r="B1" s="50"/>
      <c r="C1" s="50"/>
      <c r="D1" s="50"/>
      <c r="E1" s="50"/>
      <c r="F1" s="50"/>
      <c r="G1" s="50"/>
    </row>
    <row r="2" spans="1:7" x14ac:dyDescent="0.25">
      <c r="A2" s="19" t="s">
        <v>65</v>
      </c>
      <c r="B2" s="19" t="s">
        <v>66</v>
      </c>
      <c r="C2" s="20" t="s">
        <v>67</v>
      </c>
      <c r="D2" s="20" t="s">
        <v>68</v>
      </c>
      <c r="E2" s="20" t="s">
        <v>69</v>
      </c>
      <c r="F2" s="20" t="s">
        <v>71</v>
      </c>
      <c r="G2" s="21" t="s">
        <v>70</v>
      </c>
    </row>
    <row r="3" spans="1:7" ht="17.25" x14ac:dyDescent="0.25">
      <c r="A3" s="22">
        <v>1</v>
      </c>
      <c r="B3" s="6" t="s">
        <v>6</v>
      </c>
      <c r="C3" s="23">
        <v>80</v>
      </c>
      <c r="D3" s="23">
        <v>35</v>
      </c>
      <c r="E3" s="23">
        <v>57</v>
      </c>
      <c r="F3" s="23">
        <f>(C3+D3+E3)</f>
        <v>172</v>
      </c>
      <c r="G3" s="24">
        <f>(F3/3)</f>
        <v>57.333333333333336</v>
      </c>
    </row>
    <row r="4" spans="1:7" ht="17.25" x14ac:dyDescent="0.25">
      <c r="A4" s="22">
        <v>2</v>
      </c>
      <c r="B4" s="9" t="s">
        <v>9</v>
      </c>
      <c r="C4" s="23">
        <v>5</v>
      </c>
      <c r="D4" s="23">
        <v>26</v>
      </c>
      <c r="E4" s="23">
        <v>100</v>
      </c>
      <c r="F4" s="23">
        <f t="shared" ref="F4:F22" si="0">(C4+D4+E4)</f>
        <v>131</v>
      </c>
      <c r="G4" s="24">
        <f t="shared" ref="G4:G22" si="1">(F4/3)</f>
        <v>43.666666666666664</v>
      </c>
    </row>
    <row r="5" spans="1:7" ht="17.25" x14ac:dyDescent="0.25">
      <c r="A5" s="22">
        <v>3</v>
      </c>
      <c r="B5" s="6" t="s">
        <v>12</v>
      </c>
      <c r="C5" s="23">
        <v>39</v>
      </c>
      <c r="D5" s="23">
        <v>77</v>
      </c>
      <c r="E5" s="23">
        <v>9</v>
      </c>
      <c r="F5" s="23">
        <f t="shared" si="0"/>
        <v>125</v>
      </c>
      <c r="G5" s="24">
        <f t="shared" si="1"/>
        <v>41.666666666666664</v>
      </c>
    </row>
    <row r="6" spans="1:7" ht="17.25" x14ac:dyDescent="0.25">
      <c r="A6" s="22">
        <v>4</v>
      </c>
      <c r="B6" s="9" t="s">
        <v>14</v>
      </c>
      <c r="C6" s="23">
        <v>28</v>
      </c>
      <c r="D6" s="23">
        <v>0</v>
      </c>
      <c r="E6" s="23">
        <v>63</v>
      </c>
      <c r="F6" s="23">
        <f t="shared" si="0"/>
        <v>91</v>
      </c>
      <c r="G6" s="24">
        <f t="shared" si="1"/>
        <v>30.333333333333332</v>
      </c>
    </row>
    <row r="7" spans="1:7" ht="17.25" x14ac:dyDescent="0.25">
      <c r="A7" s="22">
        <v>5</v>
      </c>
      <c r="B7" s="6" t="s">
        <v>16</v>
      </c>
      <c r="C7" s="23">
        <v>31</v>
      </c>
      <c r="D7" s="23">
        <v>44</v>
      </c>
      <c r="E7" s="23">
        <v>74</v>
      </c>
      <c r="F7" s="23">
        <f t="shared" si="0"/>
        <v>149</v>
      </c>
      <c r="G7" s="24">
        <f t="shared" si="1"/>
        <v>49.666666666666664</v>
      </c>
    </row>
    <row r="8" spans="1:7" ht="17.25" x14ac:dyDescent="0.25">
      <c r="A8" s="22">
        <v>6</v>
      </c>
      <c r="B8" s="6" t="s">
        <v>32</v>
      </c>
      <c r="C8" s="23">
        <v>76</v>
      </c>
      <c r="D8" s="23">
        <v>51</v>
      </c>
      <c r="E8" s="23">
        <v>71</v>
      </c>
      <c r="F8" s="23">
        <f t="shared" si="0"/>
        <v>198</v>
      </c>
      <c r="G8" s="24">
        <f t="shared" si="1"/>
        <v>66</v>
      </c>
    </row>
    <row r="9" spans="1:7" ht="17.25" x14ac:dyDescent="0.25">
      <c r="A9" s="22">
        <v>7</v>
      </c>
      <c r="B9" s="9" t="s">
        <v>33</v>
      </c>
      <c r="C9" s="23">
        <v>79</v>
      </c>
      <c r="D9" s="23">
        <v>53</v>
      </c>
      <c r="E9" s="23">
        <v>38</v>
      </c>
      <c r="F9" s="23">
        <f t="shared" si="0"/>
        <v>170</v>
      </c>
      <c r="G9" s="24">
        <f t="shared" si="1"/>
        <v>56.666666666666664</v>
      </c>
    </row>
    <row r="10" spans="1:7" ht="17.25" x14ac:dyDescent="0.25">
      <c r="A10" s="22">
        <v>8</v>
      </c>
      <c r="B10" s="6" t="s">
        <v>34</v>
      </c>
      <c r="C10" s="23">
        <v>82</v>
      </c>
      <c r="D10" s="23">
        <v>57</v>
      </c>
      <c r="E10" s="23">
        <v>7</v>
      </c>
      <c r="F10" s="23">
        <f t="shared" si="0"/>
        <v>146</v>
      </c>
      <c r="G10" s="24">
        <f t="shared" si="1"/>
        <v>48.666666666666664</v>
      </c>
    </row>
    <row r="11" spans="1:7" ht="17.25" x14ac:dyDescent="0.25">
      <c r="A11" s="22">
        <v>9</v>
      </c>
      <c r="B11" s="6" t="s">
        <v>35</v>
      </c>
      <c r="C11" s="23">
        <v>89</v>
      </c>
      <c r="D11" s="23">
        <v>19</v>
      </c>
      <c r="E11" s="23">
        <v>75</v>
      </c>
      <c r="F11" s="23">
        <f t="shared" si="0"/>
        <v>183</v>
      </c>
      <c r="G11" s="24">
        <f t="shared" si="1"/>
        <v>61</v>
      </c>
    </row>
    <row r="12" spans="1:7" ht="17.25" x14ac:dyDescent="0.25">
      <c r="A12" s="22">
        <v>10</v>
      </c>
      <c r="B12" s="6" t="s">
        <v>36</v>
      </c>
      <c r="C12" s="23">
        <v>3</v>
      </c>
      <c r="D12" s="23">
        <v>27</v>
      </c>
      <c r="E12" s="23">
        <v>40</v>
      </c>
      <c r="F12" s="23">
        <f t="shared" si="0"/>
        <v>70</v>
      </c>
      <c r="G12" s="24">
        <f t="shared" si="1"/>
        <v>23.333333333333332</v>
      </c>
    </row>
    <row r="13" spans="1:7" ht="17.25" x14ac:dyDescent="0.25">
      <c r="A13" s="22">
        <v>11</v>
      </c>
      <c r="B13" s="5" t="s">
        <v>37</v>
      </c>
      <c r="C13" s="23">
        <v>31</v>
      </c>
      <c r="D13" s="23">
        <v>9</v>
      </c>
      <c r="E13" s="23">
        <v>77</v>
      </c>
      <c r="F13" s="23">
        <f t="shared" si="0"/>
        <v>117</v>
      </c>
      <c r="G13" s="24">
        <f t="shared" si="1"/>
        <v>39</v>
      </c>
    </row>
    <row r="14" spans="1:7" ht="17.25" x14ac:dyDescent="0.25">
      <c r="A14" s="22">
        <v>12</v>
      </c>
      <c r="B14" s="6" t="s">
        <v>38</v>
      </c>
      <c r="C14" s="23">
        <v>14</v>
      </c>
      <c r="D14" s="23">
        <v>84</v>
      </c>
      <c r="E14" s="23">
        <v>23</v>
      </c>
      <c r="F14" s="23">
        <f t="shared" si="0"/>
        <v>121</v>
      </c>
      <c r="G14" s="24">
        <f t="shared" si="1"/>
        <v>40.333333333333336</v>
      </c>
    </row>
    <row r="15" spans="1:7" ht="17.25" x14ac:dyDescent="0.25">
      <c r="A15" s="22">
        <v>13</v>
      </c>
      <c r="B15" s="9" t="s">
        <v>39</v>
      </c>
      <c r="C15" s="23">
        <v>72</v>
      </c>
      <c r="D15" s="23">
        <v>85</v>
      </c>
      <c r="E15" s="23">
        <v>47</v>
      </c>
      <c r="F15" s="23">
        <f t="shared" si="0"/>
        <v>204</v>
      </c>
      <c r="G15" s="24">
        <f t="shared" si="1"/>
        <v>68</v>
      </c>
    </row>
    <row r="16" spans="1:7" ht="17.25" x14ac:dyDescent="0.25">
      <c r="A16" s="22">
        <v>14</v>
      </c>
      <c r="B16" s="6" t="s">
        <v>40</v>
      </c>
      <c r="C16" s="23">
        <v>63</v>
      </c>
      <c r="D16" s="23">
        <v>36</v>
      </c>
      <c r="E16" s="23">
        <v>91</v>
      </c>
      <c r="F16" s="23">
        <f t="shared" si="0"/>
        <v>190</v>
      </c>
      <c r="G16" s="24">
        <f t="shared" si="1"/>
        <v>63.333333333333336</v>
      </c>
    </row>
    <row r="17" spans="1:7" ht="17.25" x14ac:dyDescent="0.25">
      <c r="A17" s="22">
        <v>15</v>
      </c>
      <c r="B17" s="9" t="s">
        <v>41</v>
      </c>
      <c r="C17" s="23">
        <v>100</v>
      </c>
      <c r="D17" s="23">
        <v>89</v>
      </c>
      <c r="E17" s="23">
        <v>1</v>
      </c>
      <c r="F17" s="23">
        <f t="shared" si="0"/>
        <v>190</v>
      </c>
      <c r="G17" s="24">
        <f t="shared" si="1"/>
        <v>63.333333333333336</v>
      </c>
    </row>
    <row r="18" spans="1:7" ht="17.25" x14ac:dyDescent="0.25">
      <c r="A18" s="22">
        <v>16</v>
      </c>
      <c r="B18" s="6" t="s">
        <v>42</v>
      </c>
      <c r="C18" s="23">
        <v>38</v>
      </c>
      <c r="D18" s="23">
        <v>77</v>
      </c>
      <c r="E18" s="23">
        <v>55</v>
      </c>
      <c r="F18" s="23">
        <f t="shared" si="0"/>
        <v>170</v>
      </c>
      <c r="G18" s="24">
        <f t="shared" si="1"/>
        <v>56.666666666666664</v>
      </c>
    </row>
    <row r="19" spans="1:7" ht="17.25" x14ac:dyDescent="0.25">
      <c r="A19" s="22">
        <v>17</v>
      </c>
      <c r="B19" s="9" t="s">
        <v>43</v>
      </c>
      <c r="C19" s="23">
        <v>29</v>
      </c>
      <c r="D19" s="23">
        <v>46</v>
      </c>
      <c r="E19" s="23">
        <v>37</v>
      </c>
      <c r="F19" s="23">
        <f t="shared" si="0"/>
        <v>112</v>
      </c>
      <c r="G19" s="24">
        <f t="shared" si="1"/>
        <v>37.333333333333336</v>
      </c>
    </row>
    <row r="20" spans="1:7" ht="17.25" x14ac:dyDescent="0.25">
      <c r="A20" s="22">
        <v>18</v>
      </c>
      <c r="B20" s="6" t="s">
        <v>44</v>
      </c>
      <c r="C20" s="23">
        <v>77</v>
      </c>
      <c r="D20" s="23">
        <v>47</v>
      </c>
      <c r="E20" s="23">
        <v>25</v>
      </c>
      <c r="F20" s="23">
        <f t="shared" si="0"/>
        <v>149</v>
      </c>
      <c r="G20" s="24">
        <f t="shared" si="1"/>
        <v>49.666666666666664</v>
      </c>
    </row>
    <row r="21" spans="1:7" ht="17.25" x14ac:dyDescent="0.25">
      <c r="A21" s="22">
        <v>19</v>
      </c>
      <c r="B21" s="9" t="s">
        <v>45</v>
      </c>
      <c r="C21" s="23">
        <v>81</v>
      </c>
      <c r="D21" s="23">
        <v>21</v>
      </c>
      <c r="E21" s="23">
        <v>40</v>
      </c>
      <c r="F21" s="23">
        <f t="shared" si="0"/>
        <v>142</v>
      </c>
      <c r="G21" s="24">
        <f t="shared" si="1"/>
        <v>47.333333333333336</v>
      </c>
    </row>
    <row r="22" spans="1:7" ht="17.25" x14ac:dyDescent="0.25">
      <c r="A22" s="22">
        <v>20</v>
      </c>
      <c r="B22" s="6" t="s">
        <v>46</v>
      </c>
      <c r="C22" s="23">
        <v>81</v>
      </c>
      <c r="D22" s="23">
        <v>61</v>
      </c>
      <c r="E22" s="23">
        <v>49</v>
      </c>
      <c r="F22" s="23">
        <f t="shared" si="0"/>
        <v>191</v>
      </c>
      <c r="G22" s="24">
        <f t="shared" si="1"/>
        <v>63.666666666666664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24D9D-D235-4595-95E9-D4BEE2872F02}">
  <dimension ref="A1:G26"/>
  <sheetViews>
    <sheetView zoomScale="106" zoomScaleNormal="44" workbookViewId="0">
      <selection activeCell="H18" sqref="H18"/>
    </sheetView>
  </sheetViews>
  <sheetFormatPr defaultColWidth="9.140625" defaultRowHeight="15.75" x14ac:dyDescent="0.25"/>
  <cols>
    <col min="1" max="1" width="11.7109375" style="10" bestFit="1" customWidth="1"/>
    <col min="2" max="2" width="11.85546875" style="26" bestFit="1" customWidth="1"/>
    <col min="3" max="3" width="15.28515625" style="27" bestFit="1" customWidth="1"/>
    <col min="4" max="16384" width="9.140625" style="10"/>
  </cols>
  <sheetData>
    <row r="1" spans="1:7" x14ac:dyDescent="0.25">
      <c r="A1" s="51" t="s">
        <v>73</v>
      </c>
      <c r="B1" s="51"/>
      <c r="C1" s="51"/>
    </row>
    <row r="2" spans="1:7" x14ac:dyDescent="0.25">
      <c r="A2" s="19" t="s">
        <v>74</v>
      </c>
      <c r="B2" s="28" t="s">
        <v>75</v>
      </c>
      <c r="C2" s="29" t="s">
        <v>76</v>
      </c>
    </row>
    <row r="3" spans="1:7" x14ac:dyDescent="0.25">
      <c r="A3" s="22" t="s">
        <v>77</v>
      </c>
      <c r="B3" s="30">
        <v>45171</v>
      </c>
      <c r="C3" s="31">
        <f ca="1">RANDBETWEEN(10000,50000)</f>
        <v>34787</v>
      </c>
      <c r="D3" s="25"/>
      <c r="E3" s="25"/>
      <c r="F3" s="25"/>
      <c r="G3" s="25"/>
    </row>
    <row r="4" spans="1:7" x14ac:dyDescent="0.25">
      <c r="A4" s="22" t="s">
        <v>78</v>
      </c>
      <c r="B4" s="30">
        <v>43951</v>
      </c>
      <c r="C4" s="31">
        <f t="shared" ref="C4:C22" ca="1" si="0">RANDBETWEEN(10000,50000)</f>
        <v>42613</v>
      </c>
    </row>
    <row r="5" spans="1:7" x14ac:dyDescent="0.25">
      <c r="A5" s="22" t="s">
        <v>79</v>
      </c>
      <c r="B5" s="30">
        <v>43528</v>
      </c>
      <c r="C5" s="31">
        <f t="shared" ca="1" si="0"/>
        <v>17397</v>
      </c>
    </row>
    <row r="6" spans="1:7" x14ac:dyDescent="0.25">
      <c r="A6" s="22" t="s">
        <v>80</v>
      </c>
      <c r="B6" s="30">
        <v>45707</v>
      </c>
      <c r="C6" s="31">
        <f t="shared" ca="1" si="0"/>
        <v>39203</v>
      </c>
    </row>
    <row r="7" spans="1:7" x14ac:dyDescent="0.25">
      <c r="A7" s="22" t="s">
        <v>81</v>
      </c>
      <c r="B7" s="30">
        <v>44757</v>
      </c>
      <c r="C7" s="31">
        <f t="shared" ca="1" si="0"/>
        <v>24189</v>
      </c>
    </row>
    <row r="8" spans="1:7" x14ac:dyDescent="0.25">
      <c r="A8" s="22" t="s">
        <v>82</v>
      </c>
      <c r="B8" s="30">
        <v>44414</v>
      </c>
      <c r="C8" s="31">
        <f t="shared" ca="1" si="0"/>
        <v>27022</v>
      </c>
    </row>
    <row r="9" spans="1:7" x14ac:dyDescent="0.25">
      <c r="A9" s="22" t="s">
        <v>83</v>
      </c>
      <c r="B9" s="30">
        <v>44715</v>
      </c>
      <c r="C9" s="31">
        <f t="shared" ca="1" si="0"/>
        <v>12365</v>
      </c>
    </row>
    <row r="10" spans="1:7" x14ac:dyDescent="0.25">
      <c r="A10" s="22" t="s">
        <v>84</v>
      </c>
      <c r="B10" s="30">
        <v>40841</v>
      </c>
      <c r="C10" s="31">
        <f t="shared" ca="1" si="0"/>
        <v>45656</v>
      </c>
    </row>
    <row r="11" spans="1:7" x14ac:dyDescent="0.25">
      <c r="A11" s="22" t="s">
        <v>85</v>
      </c>
      <c r="B11" s="30">
        <v>43202</v>
      </c>
      <c r="C11" s="31">
        <f t="shared" ca="1" si="0"/>
        <v>24345</v>
      </c>
    </row>
    <row r="12" spans="1:7" x14ac:dyDescent="0.25">
      <c r="A12" s="22" t="s">
        <v>86</v>
      </c>
      <c r="B12" s="30">
        <v>41160</v>
      </c>
      <c r="C12" s="31">
        <f t="shared" ca="1" si="0"/>
        <v>41852</v>
      </c>
    </row>
    <row r="13" spans="1:7" x14ac:dyDescent="0.25">
      <c r="A13" s="22" t="s">
        <v>87</v>
      </c>
      <c r="B13" s="30">
        <v>40810</v>
      </c>
      <c r="C13" s="31">
        <f t="shared" ca="1" si="0"/>
        <v>16039</v>
      </c>
    </row>
    <row r="14" spans="1:7" x14ac:dyDescent="0.25">
      <c r="A14" s="22" t="s">
        <v>88</v>
      </c>
      <c r="B14" s="30">
        <v>45611</v>
      </c>
      <c r="C14" s="31">
        <f t="shared" ca="1" si="0"/>
        <v>41975</v>
      </c>
    </row>
    <row r="15" spans="1:7" x14ac:dyDescent="0.25">
      <c r="A15" s="22" t="s">
        <v>89</v>
      </c>
      <c r="B15" s="30">
        <v>45163</v>
      </c>
      <c r="C15" s="31">
        <f t="shared" ca="1" si="0"/>
        <v>25846</v>
      </c>
    </row>
    <row r="16" spans="1:7" x14ac:dyDescent="0.25">
      <c r="A16" s="22" t="s">
        <v>90</v>
      </c>
      <c r="B16" s="30">
        <v>42651</v>
      </c>
      <c r="C16" s="31">
        <f t="shared" ca="1" si="0"/>
        <v>32747</v>
      </c>
    </row>
    <row r="17" spans="1:3" x14ac:dyDescent="0.25">
      <c r="A17" s="22" t="s">
        <v>91</v>
      </c>
      <c r="B17" s="30">
        <v>42910</v>
      </c>
      <c r="C17" s="31">
        <f t="shared" ca="1" si="0"/>
        <v>27324</v>
      </c>
    </row>
    <row r="18" spans="1:3" x14ac:dyDescent="0.25">
      <c r="A18" s="22" t="s">
        <v>92</v>
      </c>
      <c r="B18" s="30">
        <v>43484</v>
      </c>
      <c r="C18" s="31">
        <f t="shared" ca="1" si="0"/>
        <v>44036</v>
      </c>
    </row>
    <row r="19" spans="1:3" x14ac:dyDescent="0.25">
      <c r="A19" s="22" t="s">
        <v>93</v>
      </c>
      <c r="B19" s="30">
        <v>45953</v>
      </c>
      <c r="C19" s="31">
        <f t="shared" ca="1" si="0"/>
        <v>43738</v>
      </c>
    </row>
    <row r="20" spans="1:3" x14ac:dyDescent="0.25">
      <c r="A20" s="22" t="s">
        <v>94</v>
      </c>
      <c r="B20" s="30">
        <v>43457</v>
      </c>
      <c r="C20" s="31">
        <f t="shared" ca="1" si="0"/>
        <v>35915</v>
      </c>
    </row>
    <row r="21" spans="1:3" x14ac:dyDescent="0.25">
      <c r="A21" s="22" t="s">
        <v>95</v>
      </c>
      <c r="B21" s="30">
        <v>44418</v>
      </c>
      <c r="C21" s="31">
        <f t="shared" ca="1" si="0"/>
        <v>22265</v>
      </c>
    </row>
    <row r="22" spans="1:3" x14ac:dyDescent="0.25">
      <c r="A22" s="22" t="s">
        <v>96</v>
      </c>
      <c r="B22" s="30">
        <v>41774</v>
      </c>
      <c r="C22" s="31">
        <f t="shared" ca="1" si="0"/>
        <v>36429</v>
      </c>
    </row>
    <row r="23" spans="1:3" x14ac:dyDescent="0.25">
      <c r="A23" s="52" t="s">
        <v>71</v>
      </c>
      <c r="B23" s="52"/>
      <c r="C23" s="31">
        <f ca="1">SUM(C3:C22)</f>
        <v>635743</v>
      </c>
    </row>
    <row r="24" spans="1:3" x14ac:dyDescent="0.25">
      <c r="A24" s="52" t="s">
        <v>97</v>
      </c>
      <c r="B24" s="52"/>
      <c r="C24" s="31">
        <f ca="1">AVERAGE(C3:C22)</f>
        <v>31787.15</v>
      </c>
    </row>
    <row r="25" spans="1:3" x14ac:dyDescent="0.25">
      <c r="A25" s="52" t="s">
        <v>99</v>
      </c>
      <c r="B25" s="52"/>
      <c r="C25" s="31">
        <f ca="1">MAX(C3:C22)</f>
        <v>45656</v>
      </c>
    </row>
    <row r="26" spans="1:3" x14ac:dyDescent="0.25">
      <c r="A26" s="52" t="s">
        <v>100</v>
      </c>
      <c r="B26" s="52"/>
      <c r="C26" s="31">
        <f ca="1">MIN(C3:C22)</f>
        <v>12365</v>
      </c>
    </row>
  </sheetData>
  <mergeCells count="5">
    <mergeCell ref="A1:C1"/>
    <mergeCell ref="A23:B23"/>
    <mergeCell ref="A24:B24"/>
    <mergeCell ref="A25:B25"/>
    <mergeCell ref="A26:B26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707F-133D-4C16-8F71-A0EBF05D58AA}">
  <dimension ref="A1:H22"/>
  <sheetViews>
    <sheetView workbookViewId="0">
      <selection activeCell="K12" sqref="K12"/>
    </sheetView>
  </sheetViews>
  <sheetFormatPr defaultColWidth="8.85546875" defaultRowHeight="15.75" x14ac:dyDescent="0.25"/>
  <cols>
    <col min="1" max="1" width="18.28515625" style="10" bestFit="1" customWidth="1"/>
    <col min="2" max="6" width="6.28515625" style="10" bestFit="1" customWidth="1"/>
    <col min="7" max="7" width="13.5703125" style="10" bestFit="1" customWidth="1"/>
    <col min="8" max="8" width="12.7109375" style="10" bestFit="1" customWidth="1"/>
    <col min="9" max="16384" width="8.85546875" style="10"/>
  </cols>
  <sheetData>
    <row r="1" spans="1:8" x14ac:dyDescent="0.25">
      <c r="A1" s="52" t="s">
        <v>112</v>
      </c>
      <c r="B1" s="52"/>
      <c r="C1" s="52"/>
      <c r="D1" s="52"/>
      <c r="E1" s="52"/>
      <c r="F1" s="52"/>
      <c r="G1" s="22"/>
      <c r="H1" s="22"/>
    </row>
    <row r="2" spans="1:8" x14ac:dyDescent="0.25">
      <c r="A2" s="22" t="s">
        <v>66</v>
      </c>
      <c r="B2" s="22" t="s">
        <v>113</v>
      </c>
      <c r="C2" s="22" t="s">
        <v>114</v>
      </c>
      <c r="D2" s="22" t="s">
        <v>115</v>
      </c>
      <c r="E2" s="22" t="s">
        <v>116</v>
      </c>
      <c r="F2" s="22" t="s">
        <v>117</v>
      </c>
      <c r="G2" s="19" t="s">
        <v>120</v>
      </c>
      <c r="H2" s="19" t="s">
        <v>121</v>
      </c>
    </row>
    <row r="3" spans="1:8" x14ac:dyDescent="0.25">
      <c r="A3" s="22" t="s">
        <v>6</v>
      </c>
      <c r="B3" s="22" t="s">
        <v>118</v>
      </c>
      <c r="C3" s="22" t="s">
        <v>118</v>
      </c>
      <c r="D3" s="22" t="s">
        <v>118</v>
      </c>
      <c r="E3" s="22" t="s">
        <v>118</v>
      </c>
      <c r="F3" s="22" t="s">
        <v>118</v>
      </c>
      <c r="G3" s="36">
        <f>COUNTIF(B3:F3,"P")</f>
        <v>0</v>
      </c>
      <c r="H3" s="36">
        <f>COUNTIF(B3:F3,"A")</f>
        <v>5</v>
      </c>
    </row>
    <row r="4" spans="1:8" x14ac:dyDescent="0.25">
      <c r="A4" s="22" t="s">
        <v>9</v>
      </c>
      <c r="B4" s="22" t="s">
        <v>119</v>
      </c>
      <c r="C4" s="22" t="s">
        <v>119</v>
      </c>
      <c r="D4" s="22" t="s">
        <v>119</v>
      </c>
      <c r="E4" s="22" t="s">
        <v>119</v>
      </c>
      <c r="F4" s="22" t="s">
        <v>118</v>
      </c>
      <c r="G4" s="36">
        <f t="shared" ref="G4:G22" si="0">COUNTIF(B4:F4,"P")</f>
        <v>4</v>
      </c>
      <c r="H4" s="36">
        <f t="shared" ref="H4:H22" si="1">COUNTIF(B4:F4,"A")</f>
        <v>1</v>
      </c>
    </row>
    <row r="5" spans="1:8" x14ac:dyDescent="0.25">
      <c r="A5" s="22" t="s">
        <v>12</v>
      </c>
      <c r="B5" s="22" t="s">
        <v>118</v>
      </c>
      <c r="C5" s="22" t="s">
        <v>118</v>
      </c>
      <c r="D5" s="22" t="s">
        <v>118</v>
      </c>
      <c r="E5" s="22" t="s">
        <v>118</v>
      </c>
      <c r="F5" s="22" t="s">
        <v>119</v>
      </c>
      <c r="G5" s="36">
        <f t="shared" si="0"/>
        <v>1</v>
      </c>
      <c r="H5" s="36">
        <f t="shared" si="1"/>
        <v>4</v>
      </c>
    </row>
    <row r="6" spans="1:8" x14ac:dyDescent="0.25">
      <c r="A6" s="22" t="s">
        <v>14</v>
      </c>
      <c r="B6" s="22" t="s">
        <v>118</v>
      </c>
      <c r="C6" s="22" t="s">
        <v>118</v>
      </c>
      <c r="D6" s="22" t="s">
        <v>119</v>
      </c>
      <c r="E6" s="22" t="s">
        <v>119</v>
      </c>
      <c r="F6" s="22" t="s">
        <v>119</v>
      </c>
      <c r="G6" s="36">
        <f t="shared" si="0"/>
        <v>3</v>
      </c>
      <c r="H6" s="36">
        <f t="shared" si="1"/>
        <v>2</v>
      </c>
    </row>
    <row r="7" spans="1:8" x14ac:dyDescent="0.25">
      <c r="A7" s="22" t="s">
        <v>16</v>
      </c>
      <c r="B7" s="22" t="s">
        <v>118</v>
      </c>
      <c r="C7" s="22" t="s">
        <v>118</v>
      </c>
      <c r="D7" s="22" t="s">
        <v>119</v>
      </c>
      <c r="E7" s="22" t="s">
        <v>118</v>
      </c>
      <c r="F7" s="22" t="s">
        <v>119</v>
      </c>
      <c r="G7" s="36">
        <f t="shared" si="0"/>
        <v>2</v>
      </c>
      <c r="H7" s="36">
        <f t="shared" si="1"/>
        <v>3</v>
      </c>
    </row>
    <row r="8" spans="1:8" x14ac:dyDescent="0.25">
      <c r="A8" s="22" t="s">
        <v>32</v>
      </c>
      <c r="B8" s="22" t="s">
        <v>118</v>
      </c>
      <c r="C8" s="22" t="s">
        <v>119</v>
      </c>
      <c r="D8" s="22" t="s">
        <v>118</v>
      </c>
      <c r="E8" s="22" t="s">
        <v>119</v>
      </c>
      <c r="F8" s="22" t="s">
        <v>118</v>
      </c>
      <c r="G8" s="36">
        <f t="shared" si="0"/>
        <v>2</v>
      </c>
      <c r="H8" s="36">
        <f t="shared" si="1"/>
        <v>3</v>
      </c>
    </row>
    <row r="9" spans="1:8" x14ac:dyDescent="0.25">
      <c r="A9" s="22" t="s">
        <v>33</v>
      </c>
      <c r="B9" s="22" t="s">
        <v>119</v>
      </c>
      <c r="C9" s="22" t="s">
        <v>119</v>
      </c>
      <c r="D9" s="22" t="s">
        <v>118</v>
      </c>
      <c r="E9" s="22" t="s">
        <v>118</v>
      </c>
      <c r="F9" s="22" t="s">
        <v>118</v>
      </c>
      <c r="G9" s="36">
        <f t="shared" si="0"/>
        <v>2</v>
      </c>
      <c r="H9" s="36">
        <f t="shared" si="1"/>
        <v>3</v>
      </c>
    </row>
    <row r="10" spans="1:8" x14ac:dyDescent="0.25">
      <c r="A10" s="22" t="s">
        <v>34</v>
      </c>
      <c r="B10" s="22" t="s">
        <v>118</v>
      </c>
      <c r="C10" s="22" t="s">
        <v>119</v>
      </c>
      <c r="D10" s="22" t="s">
        <v>118</v>
      </c>
      <c r="E10" s="22" t="s">
        <v>119</v>
      </c>
      <c r="F10" s="22" t="s">
        <v>118</v>
      </c>
      <c r="G10" s="36">
        <f t="shared" si="0"/>
        <v>2</v>
      </c>
      <c r="H10" s="36">
        <f t="shared" si="1"/>
        <v>3</v>
      </c>
    </row>
    <row r="11" spans="1:8" x14ac:dyDescent="0.25">
      <c r="A11" s="22" t="s">
        <v>35</v>
      </c>
      <c r="B11" s="22" t="s">
        <v>119</v>
      </c>
      <c r="C11" s="22" t="s">
        <v>118</v>
      </c>
      <c r="D11" s="22" t="s">
        <v>119</v>
      </c>
      <c r="E11" s="22" t="s">
        <v>119</v>
      </c>
      <c r="F11" s="22" t="s">
        <v>119</v>
      </c>
      <c r="G11" s="36">
        <f t="shared" si="0"/>
        <v>4</v>
      </c>
      <c r="H11" s="36">
        <f t="shared" si="1"/>
        <v>1</v>
      </c>
    </row>
    <row r="12" spans="1:8" x14ac:dyDescent="0.25">
      <c r="A12" s="22" t="s">
        <v>36</v>
      </c>
      <c r="B12" s="22" t="s">
        <v>118</v>
      </c>
      <c r="C12" s="22" t="s">
        <v>119</v>
      </c>
      <c r="D12" s="22" t="s">
        <v>118</v>
      </c>
      <c r="E12" s="22" t="s">
        <v>119</v>
      </c>
      <c r="F12" s="22" t="s">
        <v>119</v>
      </c>
      <c r="G12" s="36">
        <f t="shared" si="0"/>
        <v>3</v>
      </c>
      <c r="H12" s="36">
        <f t="shared" si="1"/>
        <v>2</v>
      </c>
    </row>
    <row r="13" spans="1:8" x14ac:dyDescent="0.25">
      <c r="A13" s="22" t="s">
        <v>37</v>
      </c>
      <c r="B13" s="22" t="s">
        <v>119</v>
      </c>
      <c r="C13" s="22" t="s">
        <v>118</v>
      </c>
      <c r="D13" s="22" t="s">
        <v>119</v>
      </c>
      <c r="E13" s="22" t="s">
        <v>118</v>
      </c>
      <c r="F13" s="22" t="s">
        <v>118</v>
      </c>
      <c r="G13" s="36">
        <f t="shared" si="0"/>
        <v>2</v>
      </c>
      <c r="H13" s="36">
        <f t="shared" si="1"/>
        <v>3</v>
      </c>
    </row>
    <row r="14" spans="1:8" x14ac:dyDescent="0.25">
      <c r="A14" s="22" t="s">
        <v>38</v>
      </c>
      <c r="B14" s="22" t="s">
        <v>119</v>
      </c>
      <c r="C14" s="22" t="s">
        <v>119</v>
      </c>
      <c r="D14" s="22" t="s">
        <v>119</v>
      </c>
      <c r="E14" s="22" t="s">
        <v>119</v>
      </c>
      <c r="F14" s="22" t="s">
        <v>119</v>
      </c>
      <c r="G14" s="36">
        <f t="shared" si="0"/>
        <v>5</v>
      </c>
      <c r="H14" s="36">
        <f t="shared" si="1"/>
        <v>0</v>
      </c>
    </row>
    <row r="15" spans="1:8" x14ac:dyDescent="0.25">
      <c r="A15" s="22" t="s">
        <v>39</v>
      </c>
      <c r="B15" s="22" t="s">
        <v>119</v>
      </c>
      <c r="C15" s="22" t="s">
        <v>118</v>
      </c>
      <c r="D15" s="22" t="s">
        <v>119</v>
      </c>
      <c r="E15" s="22" t="s">
        <v>118</v>
      </c>
      <c r="F15" s="22" t="s">
        <v>118</v>
      </c>
      <c r="G15" s="36">
        <f t="shared" si="0"/>
        <v>2</v>
      </c>
      <c r="H15" s="36">
        <f t="shared" si="1"/>
        <v>3</v>
      </c>
    </row>
    <row r="16" spans="1:8" x14ac:dyDescent="0.25">
      <c r="A16" s="22" t="s">
        <v>40</v>
      </c>
      <c r="B16" s="22" t="s">
        <v>119</v>
      </c>
      <c r="C16" s="22" t="s">
        <v>118</v>
      </c>
      <c r="D16" s="22" t="s">
        <v>119</v>
      </c>
      <c r="E16" s="22" t="s">
        <v>118</v>
      </c>
      <c r="F16" s="22" t="s">
        <v>118</v>
      </c>
      <c r="G16" s="36">
        <f t="shared" si="0"/>
        <v>2</v>
      </c>
      <c r="H16" s="36">
        <f t="shared" si="1"/>
        <v>3</v>
      </c>
    </row>
    <row r="17" spans="1:8" x14ac:dyDescent="0.25">
      <c r="A17" s="22" t="s">
        <v>41</v>
      </c>
      <c r="B17" s="22" t="s">
        <v>118</v>
      </c>
      <c r="C17" s="22" t="s">
        <v>119</v>
      </c>
      <c r="D17" s="22" t="s">
        <v>119</v>
      </c>
      <c r="E17" s="22" t="s">
        <v>118</v>
      </c>
      <c r="F17" s="22" t="s">
        <v>119</v>
      </c>
      <c r="G17" s="36">
        <f t="shared" si="0"/>
        <v>3</v>
      </c>
      <c r="H17" s="36">
        <f t="shared" si="1"/>
        <v>2</v>
      </c>
    </row>
    <row r="18" spans="1:8" x14ac:dyDescent="0.25">
      <c r="A18" s="22" t="s">
        <v>42</v>
      </c>
      <c r="B18" s="22" t="s">
        <v>119</v>
      </c>
      <c r="C18" s="22" t="s">
        <v>118</v>
      </c>
      <c r="D18" s="22" t="s">
        <v>118</v>
      </c>
      <c r="E18" s="22" t="s">
        <v>119</v>
      </c>
      <c r="F18" s="22" t="s">
        <v>118</v>
      </c>
      <c r="G18" s="36">
        <f t="shared" si="0"/>
        <v>2</v>
      </c>
      <c r="H18" s="36">
        <f t="shared" si="1"/>
        <v>3</v>
      </c>
    </row>
    <row r="19" spans="1:8" x14ac:dyDescent="0.25">
      <c r="A19" s="22" t="s">
        <v>43</v>
      </c>
      <c r="B19" s="22" t="s">
        <v>118</v>
      </c>
      <c r="C19" s="22" t="s">
        <v>119</v>
      </c>
      <c r="D19" s="22" t="s">
        <v>118</v>
      </c>
      <c r="E19" s="22" t="s">
        <v>118</v>
      </c>
      <c r="F19" s="22" t="s">
        <v>119</v>
      </c>
      <c r="G19" s="36">
        <f t="shared" si="0"/>
        <v>2</v>
      </c>
      <c r="H19" s="36">
        <f t="shared" si="1"/>
        <v>3</v>
      </c>
    </row>
    <row r="20" spans="1:8" x14ac:dyDescent="0.25">
      <c r="A20" s="22" t="s">
        <v>44</v>
      </c>
      <c r="B20" s="22" t="s">
        <v>119</v>
      </c>
      <c r="C20" s="22" t="s">
        <v>119</v>
      </c>
      <c r="D20" s="22" t="s">
        <v>119</v>
      </c>
      <c r="E20" s="22" t="s">
        <v>119</v>
      </c>
      <c r="F20" s="22" t="s">
        <v>118</v>
      </c>
      <c r="G20" s="36">
        <f t="shared" si="0"/>
        <v>4</v>
      </c>
      <c r="H20" s="36">
        <f t="shared" si="1"/>
        <v>1</v>
      </c>
    </row>
    <row r="21" spans="1:8" x14ac:dyDescent="0.25">
      <c r="A21" s="22" t="s">
        <v>45</v>
      </c>
      <c r="B21" s="22" t="s">
        <v>118</v>
      </c>
      <c r="C21" s="22" t="s">
        <v>118</v>
      </c>
      <c r="D21" s="22" t="s">
        <v>118</v>
      </c>
      <c r="E21" s="22" t="s">
        <v>119</v>
      </c>
      <c r="F21" s="22" t="s">
        <v>119</v>
      </c>
      <c r="G21" s="36">
        <f t="shared" si="0"/>
        <v>2</v>
      </c>
      <c r="H21" s="36">
        <f t="shared" si="1"/>
        <v>3</v>
      </c>
    </row>
    <row r="22" spans="1:8" x14ac:dyDescent="0.25">
      <c r="A22" s="22" t="s">
        <v>46</v>
      </c>
      <c r="B22" s="22" t="s">
        <v>119</v>
      </c>
      <c r="C22" s="22" t="s">
        <v>118</v>
      </c>
      <c r="D22" s="22" t="s">
        <v>118</v>
      </c>
      <c r="E22" s="22" t="s">
        <v>118</v>
      </c>
      <c r="F22" s="22" t="s">
        <v>118</v>
      </c>
      <c r="G22" s="36">
        <f t="shared" si="0"/>
        <v>1</v>
      </c>
      <c r="H22" s="36">
        <f t="shared" si="1"/>
        <v>4</v>
      </c>
    </row>
  </sheetData>
  <mergeCells count="1">
    <mergeCell ref="A1:F1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6D3B8-76A6-43E7-8CE5-A7F172BA31A5}">
  <dimension ref="A1:B25"/>
  <sheetViews>
    <sheetView workbookViewId="0">
      <selection activeCell="E4" sqref="E4"/>
    </sheetView>
  </sheetViews>
  <sheetFormatPr defaultColWidth="8.85546875" defaultRowHeight="15.75" x14ac:dyDescent="0.25"/>
  <cols>
    <col min="1" max="1" width="12.7109375" style="10" bestFit="1" customWidth="1"/>
    <col min="2" max="2" width="13.85546875" style="10" bestFit="1" customWidth="1"/>
    <col min="3" max="16384" width="8.85546875" style="10"/>
  </cols>
  <sheetData>
    <row r="1" spans="1:2" x14ac:dyDescent="0.25">
      <c r="A1" s="53" t="s">
        <v>122</v>
      </c>
      <c r="B1" s="53"/>
    </row>
    <row r="2" spans="1:2" x14ac:dyDescent="0.25">
      <c r="A2" s="19" t="s">
        <v>123</v>
      </c>
      <c r="B2" s="19" t="s">
        <v>50</v>
      </c>
    </row>
    <row r="3" spans="1:2" x14ac:dyDescent="0.25">
      <c r="A3" s="22" t="s">
        <v>124</v>
      </c>
      <c r="B3" s="22">
        <v>10217</v>
      </c>
    </row>
    <row r="4" spans="1:2" x14ac:dyDescent="0.25">
      <c r="A4" s="22" t="s">
        <v>125</v>
      </c>
      <c r="B4" s="22">
        <v>16301</v>
      </c>
    </row>
    <row r="5" spans="1:2" x14ac:dyDescent="0.25">
      <c r="A5" s="22" t="s">
        <v>126</v>
      </c>
      <c r="B5" s="22">
        <v>1960</v>
      </c>
    </row>
    <row r="6" spans="1:2" x14ac:dyDescent="0.25">
      <c r="A6" s="22" t="s">
        <v>127</v>
      </c>
      <c r="B6" s="22">
        <v>5271</v>
      </c>
    </row>
    <row r="7" spans="1:2" x14ac:dyDescent="0.25">
      <c r="A7" s="22" t="s">
        <v>128</v>
      </c>
      <c r="B7" s="22">
        <v>21344</v>
      </c>
    </row>
    <row r="8" spans="1:2" x14ac:dyDescent="0.25">
      <c r="A8" s="22" t="s">
        <v>129</v>
      </c>
      <c r="B8" s="22">
        <v>4420</v>
      </c>
    </row>
    <row r="9" spans="1:2" x14ac:dyDescent="0.25">
      <c r="A9" s="22" t="s">
        <v>130</v>
      </c>
      <c r="B9" s="22">
        <v>27119</v>
      </c>
    </row>
    <row r="10" spans="1:2" x14ac:dyDescent="0.25">
      <c r="A10" s="22" t="s">
        <v>131</v>
      </c>
      <c r="B10" s="22">
        <v>18351</v>
      </c>
    </row>
    <row r="11" spans="1:2" x14ac:dyDescent="0.25">
      <c r="A11" s="22" t="s">
        <v>132</v>
      </c>
      <c r="B11" s="22">
        <v>18216</v>
      </c>
    </row>
    <row r="12" spans="1:2" x14ac:dyDescent="0.25">
      <c r="A12" s="22" t="s">
        <v>133</v>
      </c>
      <c r="B12" s="22">
        <v>6339</v>
      </c>
    </row>
    <row r="13" spans="1:2" x14ac:dyDescent="0.25">
      <c r="A13" s="22" t="s">
        <v>134</v>
      </c>
      <c r="B13" s="22">
        <v>1068</v>
      </c>
    </row>
    <row r="14" spans="1:2" x14ac:dyDescent="0.25">
      <c r="A14" s="22" t="s">
        <v>135</v>
      </c>
      <c r="B14" s="22">
        <v>15725</v>
      </c>
    </row>
    <row r="15" spans="1:2" x14ac:dyDescent="0.25">
      <c r="A15" s="22" t="s">
        <v>136</v>
      </c>
      <c r="B15" s="22">
        <v>10307</v>
      </c>
    </row>
    <row r="16" spans="1:2" x14ac:dyDescent="0.25">
      <c r="A16" s="22" t="s">
        <v>137</v>
      </c>
      <c r="B16" s="22">
        <v>22875</v>
      </c>
    </row>
    <row r="17" spans="1:2" x14ac:dyDescent="0.25">
      <c r="A17" s="22" t="s">
        <v>138</v>
      </c>
      <c r="B17" s="22">
        <v>5074</v>
      </c>
    </row>
    <row r="18" spans="1:2" x14ac:dyDescent="0.25">
      <c r="A18" s="22" t="s">
        <v>139</v>
      </c>
      <c r="B18" s="22">
        <v>20772</v>
      </c>
    </row>
    <row r="19" spans="1:2" x14ac:dyDescent="0.25">
      <c r="A19" s="22" t="s">
        <v>140</v>
      </c>
      <c r="B19" s="22">
        <v>25310</v>
      </c>
    </row>
    <row r="20" spans="1:2" x14ac:dyDescent="0.25">
      <c r="A20" s="22" t="s">
        <v>141</v>
      </c>
      <c r="B20" s="22">
        <v>21732</v>
      </c>
    </row>
    <row r="21" spans="1:2" x14ac:dyDescent="0.25">
      <c r="A21" s="22" t="s">
        <v>142</v>
      </c>
      <c r="B21" s="22">
        <v>19490</v>
      </c>
    </row>
    <row r="22" spans="1:2" x14ac:dyDescent="0.25">
      <c r="A22" s="22" t="s">
        <v>143</v>
      </c>
      <c r="B22" s="22">
        <v>15164</v>
      </c>
    </row>
    <row r="23" spans="1:2" x14ac:dyDescent="0.25">
      <c r="A23" s="22"/>
      <c r="B23" s="22"/>
    </row>
    <row r="24" spans="1:2" x14ac:dyDescent="0.25">
      <c r="A24" s="19" t="s">
        <v>144</v>
      </c>
      <c r="B24" s="22">
        <f>COUNTIF(B3:B22,"&gt;10000")</f>
        <v>14</v>
      </c>
    </row>
    <row r="25" spans="1:2" x14ac:dyDescent="0.25">
      <c r="A25" s="19" t="s">
        <v>145</v>
      </c>
      <c r="B25" s="22">
        <f>COUNTIF(B3:B22,"&lt;5000")</f>
        <v>3</v>
      </c>
    </row>
  </sheetData>
  <mergeCells count="1">
    <mergeCell ref="A1:B1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58969-09C5-4480-A124-830A90068EE3}">
  <dimension ref="A1:B23"/>
  <sheetViews>
    <sheetView workbookViewId="0">
      <selection activeCell="J13" sqref="J13"/>
    </sheetView>
  </sheetViews>
  <sheetFormatPr defaultColWidth="8.85546875" defaultRowHeight="15.75" x14ac:dyDescent="0.25"/>
  <cols>
    <col min="1" max="1" width="11.7109375" style="25" bestFit="1" customWidth="1"/>
    <col min="2" max="2" width="14.85546875" style="25" customWidth="1"/>
    <col min="3" max="16384" width="8.85546875" style="10"/>
  </cols>
  <sheetData>
    <row r="1" spans="1:2" x14ac:dyDescent="0.25">
      <c r="A1" s="54" t="s">
        <v>146</v>
      </c>
      <c r="B1" s="54"/>
    </row>
    <row r="2" spans="1:2" x14ac:dyDescent="0.25">
      <c r="A2" s="19" t="s">
        <v>147</v>
      </c>
      <c r="B2" s="19" t="s">
        <v>50</v>
      </c>
    </row>
    <row r="3" spans="1:2" x14ac:dyDescent="0.25">
      <c r="A3" s="22" t="s">
        <v>148</v>
      </c>
      <c r="B3" s="22">
        <f ca="1">RANDBETWEEN(500,36000)</f>
        <v>4663</v>
      </c>
    </row>
    <row r="4" spans="1:2" x14ac:dyDescent="0.25">
      <c r="A4" s="22" t="s">
        <v>149</v>
      </c>
      <c r="B4" s="22">
        <f t="shared" ref="B4:B23" ca="1" si="0">RANDBETWEEN(500,36000)</f>
        <v>30983</v>
      </c>
    </row>
    <row r="5" spans="1:2" x14ac:dyDescent="0.25">
      <c r="A5" s="22" t="s">
        <v>150</v>
      </c>
      <c r="B5" s="22">
        <f t="shared" ca="1" si="0"/>
        <v>19684</v>
      </c>
    </row>
    <row r="6" spans="1:2" x14ac:dyDescent="0.25">
      <c r="A6" s="22" t="s">
        <v>148</v>
      </c>
      <c r="B6" s="22">
        <f t="shared" ca="1" si="0"/>
        <v>19727</v>
      </c>
    </row>
    <row r="7" spans="1:2" x14ac:dyDescent="0.25">
      <c r="A7" s="22" t="s">
        <v>149</v>
      </c>
      <c r="B7" s="22">
        <f t="shared" ca="1" si="0"/>
        <v>1424</v>
      </c>
    </row>
    <row r="8" spans="1:2" x14ac:dyDescent="0.25">
      <c r="A8" s="22" t="s">
        <v>148</v>
      </c>
      <c r="B8" s="22">
        <f t="shared" ca="1" si="0"/>
        <v>22309</v>
      </c>
    </row>
    <row r="9" spans="1:2" x14ac:dyDescent="0.25">
      <c r="A9" s="22" t="s">
        <v>149</v>
      </c>
      <c r="B9" s="22">
        <f t="shared" ca="1" si="0"/>
        <v>20275</v>
      </c>
    </row>
    <row r="10" spans="1:2" x14ac:dyDescent="0.25">
      <c r="A10" s="22" t="s">
        <v>149</v>
      </c>
      <c r="B10" s="22">
        <f t="shared" ca="1" si="0"/>
        <v>17787</v>
      </c>
    </row>
    <row r="11" spans="1:2" x14ac:dyDescent="0.25">
      <c r="A11" s="22" t="s">
        <v>151</v>
      </c>
      <c r="B11" s="22">
        <f t="shared" ca="1" si="0"/>
        <v>33965</v>
      </c>
    </row>
    <row r="12" spans="1:2" x14ac:dyDescent="0.25">
      <c r="A12" s="22" t="s">
        <v>148</v>
      </c>
      <c r="B12" s="22">
        <f t="shared" ca="1" si="0"/>
        <v>19317</v>
      </c>
    </row>
    <row r="13" spans="1:2" x14ac:dyDescent="0.25">
      <c r="A13" s="22" t="s">
        <v>148</v>
      </c>
      <c r="B13" s="22">
        <f t="shared" ca="1" si="0"/>
        <v>31113</v>
      </c>
    </row>
    <row r="14" spans="1:2" x14ac:dyDescent="0.25">
      <c r="A14" s="22" t="s">
        <v>151</v>
      </c>
      <c r="B14" s="22">
        <f t="shared" ca="1" si="0"/>
        <v>28965</v>
      </c>
    </row>
    <row r="15" spans="1:2" x14ac:dyDescent="0.25">
      <c r="A15" s="22" t="s">
        <v>149</v>
      </c>
      <c r="B15" s="22">
        <f t="shared" ca="1" si="0"/>
        <v>13932</v>
      </c>
    </row>
    <row r="16" spans="1:2" x14ac:dyDescent="0.25">
      <c r="A16" s="22" t="s">
        <v>150</v>
      </c>
      <c r="B16" s="22">
        <f t="shared" ca="1" si="0"/>
        <v>30370</v>
      </c>
    </row>
    <row r="17" spans="1:2" x14ac:dyDescent="0.25">
      <c r="A17" s="22" t="s">
        <v>151</v>
      </c>
      <c r="B17" s="22">
        <f t="shared" ca="1" si="0"/>
        <v>4980</v>
      </c>
    </row>
    <row r="18" spans="1:2" x14ac:dyDescent="0.25">
      <c r="A18" s="22" t="s">
        <v>149</v>
      </c>
      <c r="B18" s="22">
        <f t="shared" ca="1" si="0"/>
        <v>14490</v>
      </c>
    </row>
    <row r="19" spans="1:2" x14ac:dyDescent="0.25">
      <c r="A19" s="22" t="s">
        <v>149</v>
      </c>
      <c r="B19" s="22">
        <f t="shared" ca="1" si="0"/>
        <v>29292</v>
      </c>
    </row>
    <row r="20" spans="1:2" x14ac:dyDescent="0.25">
      <c r="A20" s="22" t="s">
        <v>149</v>
      </c>
      <c r="B20" s="22">
        <f t="shared" ca="1" si="0"/>
        <v>7768</v>
      </c>
    </row>
    <row r="21" spans="1:2" x14ac:dyDescent="0.25">
      <c r="A21" s="22" t="s">
        <v>149</v>
      </c>
      <c r="B21" s="22">
        <f t="shared" ca="1" si="0"/>
        <v>10711</v>
      </c>
    </row>
    <row r="22" spans="1:2" x14ac:dyDescent="0.25">
      <c r="A22" s="22" t="s">
        <v>152</v>
      </c>
      <c r="B22" s="22">
        <f t="shared" ca="1" si="0"/>
        <v>35490</v>
      </c>
    </row>
    <row r="23" spans="1:2" x14ac:dyDescent="0.25">
      <c r="A23" s="22" t="s">
        <v>152</v>
      </c>
      <c r="B23" s="22">
        <f t="shared" ca="1" si="0"/>
        <v>2176</v>
      </c>
    </row>
  </sheetData>
  <mergeCells count="1">
    <mergeCell ref="A1:B1"/>
  </mergeCells>
  <conditionalFormatting sqref="B3:B23">
    <cfRule type="cellIs" dxfId="6" priority="1" operator="lessThan">
      <formula>5000</formula>
    </cfRule>
    <cfRule type="cellIs" dxfId="5" priority="2" operator="greaterThan">
      <formula>20000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37797-AAA8-490E-96DE-B2BB904D5E31}">
  <dimension ref="A1:C22"/>
  <sheetViews>
    <sheetView topLeftCell="A2" workbookViewId="0">
      <selection activeCell="B3" sqref="B3:B22"/>
    </sheetView>
  </sheetViews>
  <sheetFormatPr defaultColWidth="8.85546875" defaultRowHeight="15.75" x14ac:dyDescent="0.25"/>
  <cols>
    <col min="1" max="1" width="8.85546875" style="10"/>
    <col min="2" max="2" width="18.28515625" style="10" bestFit="1" customWidth="1"/>
    <col min="3" max="16384" width="8.85546875" style="10"/>
  </cols>
  <sheetData>
    <row r="1" spans="1:3" x14ac:dyDescent="0.25">
      <c r="A1" s="52" t="s">
        <v>153</v>
      </c>
      <c r="B1" s="52"/>
      <c r="C1" s="52"/>
    </row>
    <row r="2" spans="1:3" x14ac:dyDescent="0.25">
      <c r="A2" s="19" t="s">
        <v>65</v>
      </c>
      <c r="B2" s="19" t="s">
        <v>1</v>
      </c>
      <c r="C2" s="19" t="s">
        <v>154</v>
      </c>
    </row>
    <row r="3" spans="1:3" x14ac:dyDescent="0.25">
      <c r="A3" s="22">
        <v>1</v>
      </c>
      <c r="B3" s="22" t="s">
        <v>6</v>
      </c>
      <c r="C3" s="22">
        <f ca="1">RANDBETWEEN(0,100)</f>
        <v>42</v>
      </c>
    </row>
    <row r="4" spans="1:3" x14ac:dyDescent="0.25">
      <c r="A4" s="22">
        <v>2</v>
      </c>
      <c r="B4" s="22" t="s">
        <v>9</v>
      </c>
      <c r="C4" s="22">
        <f t="shared" ref="C4:C22" ca="1" si="0">RANDBETWEEN(0,100)</f>
        <v>72</v>
      </c>
    </row>
    <row r="5" spans="1:3" x14ac:dyDescent="0.25">
      <c r="A5" s="22">
        <v>3</v>
      </c>
      <c r="B5" s="22" t="s">
        <v>12</v>
      </c>
      <c r="C5" s="22">
        <f t="shared" ca="1" si="0"/>
        <v>45</v>
      </c>
    </row>
    <row r="6" spans="1:3" x14ac:dyDescent="0.25">
      <c r="A6" s="22">
        <v>4</v>
      </c>
      <c r="B6" s="22" t="s">
        <v>14</v>
      </c>
      <c r="C6" s="22">
        <f t="shared" ca="1" si="0"/>
        <v>79</v>
      </c>
    </row>
    <row r="7" spans="1:3" x14ac:dyDescent="0.25">
      <c r="A7" s="22">
        <v>5</v>
      </c>
      <c r="B7" s="22" t="s">
        <v>16</v>
      </c>
      <c r="C7" s="22">
        <f t="shared" ca="1" si="0"/>
        <v>35</v>
      </c>
    </row>
    <row r="8" spans="1:3" x14ac:dyDescent="0.25">
      <c r="A8" s="22">
        <v>6</v>
      </c>
      <c r="B8" s="22" t="s">
        <v>32</v>
      </c>
      <c r="C8" s="22">
        <f t="shared" ca="1" si="0"/>
        <v>79</v>
      </c>
    </row>
    <row r="9" spans="1:3" x14ac:dyDescent="0.25">
      <c r="A9" s="22">
        <v>7</v>
      </c>
      <c r="B9" s="22" t="s">
        <v>33</v>
      </c>
      <c r="C9" s="22">
        <f t="shared" ca="1" si="0"/>
        <v>26</v>
      </c>
    </row>
    <row r="10" spans="1:3" x14ac:dyDescent="0.25">
      <c r="A10" s="22">
        <v>8</v>
      </c>
      <c r="B10" s="22" t="s">
        <v>34</v>
      </c>
      <c r="C10" s="22">
        <f t="shared" ca="1" si="0"/>
        <v>69</v>
      </c>
    </row>
    <row r="11" spans="1:3" x14ac:dyDescent="0.25">
      <c r="A11" s="22">
        <v>9</v>
      </c>
      <c r="B11" s="22" t="s">
        <v>35</v>
      </c>
      <c r="C11" s="22">
        <f t="shared" ca="1" si="0"/>
        <v>75</v>
      </c>
    </row>
    <row r="12" spans="1:3" x14ac:dyDescent="0.25">
      <c r="A12" s="22">
        <v>10</v>
      </c>
      <c r="B12" s="22" t="s">
        <v>36</v>
      </c>
      <c r="C12" s="22">
        <f t="shared" ca="1" si="0"/>
        <v>51</v>
      </c>
    </row>
    <row r="13" spans="1:3" x14ac:dyDescent="0.25">
      <c r="A13" s="22">
        <v>11</v>
      </c>
      <c r="B13" s="22" t="s">
        <v>37</v>
      </c>
      <c r="C13" s="22">
        <f t="shared" ca="1" si="0"/>
        <v>8</v>
      </c>
    </row>
    <row r="14" spans="1:3" x14ac:dyDescent="0.25">
      <c r="A14" s="22">
        <v>12</v>
      </c>
      <c r="B14" s="22" t="s">
        <v>38</v>
      </c>
      <c r="C14" s="22">
        <f t="shared" ca="1" si="0"/>
        <v>35</v>
      </c>
    </row>
    <row r="15" spans="1:3" x14ac:dyDescent="0.25">
      <c r="A15" s="22">
        <v>13</v>
      </c>
      <c r="B15" s="22" t="s">
        <v>39</v>
      </c>
      <c r="C15" s="22">
        <f t="shared" ca="1" si="0"/>
        <v>76</v>
      </c>
    </row>
    <row r="16" spans="1:3" x14ac:dyDescent="0.25">
      <c r="A16" s="22">
        <v>14</v>
      </c>
      <c r="B16" s="22" t="s">
        <v>40</v>
      </c>
      <c r="C16" s="22">
        <f t="shared" ca="1" si="0"/>
        <v>31</v>
      </c>
    </row>
    <row r="17" spans="1:3" x14ac:dyDescent="0.25">
      <c r="A17" s="22">
        <v>15</v>
      </c>
      <c r="B17" s="22" t="s">
        <v>41</v>
      </c>
      <c r="C17" s="22">
        <f t="shared" ca="1" si="0"/>
        <v>23</v>
      </c>
    </row>
    <row r="18" spans="1:3" x14ac:dyDescent="0.25">
      <c r="A18" s="22">
        <v>16</v>
      </c>
      <c r="B18" s="22" t="s">
        <v>42</v>
      </c>
      <c r="C18" s="22">
        <f t="shared" ca="1" si="0"/>
        <v>10</v>
      </c>
    </row>
    <row r="19" spans="1:3" x14ac:dyDescent="0.25">
      <c r="A19" s="22">
        <v>17</v>
      </c>
      <c r="B19" s="22" t="s">
        <v>43</v>
      </c>
      <c r="C19" s="22">
        <f t="shared" ca="1" si="0"/>
        <v>31</v>
      </c>
    </row>
    <row r="20" spans="1:3" x14ac:dyDescent="0.25">
      <c r="A20" s="22">
        <v>18</v>
      </c>
      <c r="B20" s="22" t="s">
        <v>44</v>
      </c>
      <c r="C20" s="22">
        <f t="shared" ca="1" si="0"/>
        <v>37</v>
      </c>
    </row>
    <row r="21" spans="1:3" x14ac:dyDescent="0.25">
      <c r="A21" s="22">
        <v>19</v>
      </c>
      <c r="B21" s="22" t="s">
        <v>45</v>
      </c>
      <c r="C21" s="22">
        <f t="shared" ca="1" si="0"/>
        <v>65</v>
      </c>
    </row>
    <row r="22" spans="1:3" x14ac:dyDescent="0.25">
      <c r="A22" s="22">
        <v>20</v>
      </c>
      <c r="B22" s="22" t="s">
        <v>46</v>
      </c>
      <c r="C22" s="22">
        <f t="shared" ca="1" si="0"/>
        <v>62</v>
      </c>
    </row>
  </sheetData>
  <mergeCells count="1">
    <mergeCell ref="A1:C1"/>
  </mergeCells>
  <conditionalFormatting sqref="A3:C22">
    <cfRule type="expression" dxfId="4" priority="1">
      <formula>$C3&lt;40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BD7D-C258-4097-A1DC-2883E2E1E3E4}">
  <dimension ref="A2:B22"/>
  <sheetViews>
    <sheetView zoomScale="97" zoomScaleNormal="97" workbookViewId="0">
      <selection activeCell="M6" sqref="M6"/>
    </sheetView>
  </sheetViews>
  <sheetFormatPr defaultColWidth="8.85546875" defaultRowHeight="15.75" x14ac:dyDescent="0.25"/>
  <cols>
    <col min="1" max="1" width="16.85546875" style="10" bestFit="1" customWidth="1"/>
    <col min="2" max="16384" width="8.85546875" style="10"/>
  </cols>
  <sheetData>
    <row r="2" spans="1:2" x14ac:dyDescent="0.25">
      <c r="A2" s="19" t="s">
        <v>155</v>
      </c>
      <c r="B2" s="19" t="s">
        <v>3</v>
      </c>
    </row>
    <row r="3" spans="1:2" x14ac:dyDescent="0.25">
      <c r="A3" s="22" t="s">
        <v>6</v>
      </c>
      <c r="B3" s="22">
        <v>37790</v>
      </c>
    </row>
    <row r="4" spans="1:2" x14ac:dyDescent="0.25">
      <c r="A4" s="22" t="s">
        <v>9</v>
      </c>
      <c r="B4" s="22">
        <v>81534</v>
      </c>
    </row>
    <row r="5" spans="1:2" x14ac:dyDescent="0.25">
      <c r="A5" s="22" t="s">
        <v>12</v>
      </c>
      <c r="B5" s="22">
        <v>80663</v>
      </c>
    </row>
    <row r="6" spans="1:2" x14ac:dyDescent="0.25">
      <c r="A6" s="22" t="s">
        <v>14</v>
      </c>
      <c r="B6" s="22">
        <v>35032</v>
      </c>
    </row>
    <row r="7" spans="1:2" x14ac:dyDescent="0.25">
      <c r="A7" s="22" t="s">
        <v>16</v>
      </c>
      <c r="B7" s="22">
        <v>29155</v>
      </c>
    </row>
    <row r="8" spans="1:2" x14ac:dyDescent="0.25">
      <c r="A8" s="22" t="s">
        <v>32</v>
      </c>
      <c r="B8" s="22">
        <v>38748</v>
      </c>
    </row>
    <row r="9" spans="1:2" x14ac:dyDescent="0.25">
      <c r="A9" s="22" t="s">
        <v>33</v>
      </c>
      <c r="B9" s="22">
        <v>34012</v>
      </c>
    </row>
    <row r="10" spans="1:2" x14ac:dyDescent="0.25">
      <c r="A10" s="22" t="s">
        <v>34</v>
      </c>
      <c r="B10" s="22">
        <v>39943</v>
      </c>
    </row>
    <row r="11" spans="1:2" x14ac:dyDescent="0.25">
      <c r="A11" s="22" t="s">
        <v>35</v>
      </c>
      <c r="B11" s="22">
        <v>42597</v>
      </c>
    </row>
    <row r="12" spans="1:2" x14ac:dyDescent="0.25">
      <c r="A12" s="22" t="s">
        <v>36</v>
      </c>
      <c r="B12" s="22">
        <v>90620</v>
      </c>
    </row>
    <row r="13" spans="1:2" x14ac:dyDescent="0.25">
      <c r="A13" s="22" t="s">
        <v>37</v>
      </c>
      <c r="B13" s="22">
        <v>89733</v>
      </c>
    </row>
    <row r="14" spans="1:2" x14ac:dyDescent="0.25">
      <c r="A14" s="22" t="s">
        <v>38</v>
      </c>
      <c r="B14" s="22">
        <v>60242</v>
      </c>
    </row>
    <row r="15" spans="1:2" x14ac:dyDescent="0.25">
      <c r="A15" s="22" t="s">
        <v>39</v>
      </c>
      <c r="B15" s="22">
        <v>42035</v>
      </c>
    </row>
    <row r="16" spans="1:2" x14ac:dyDescent="0.25">
      <c r="A16" s="22" t="s">
        <v>40</v>
      </c>
      <c r="B16" s="22">
        <v>71838</v>
      </c>
    </row>
    <row r="17" spans="1:2" x14ac:dyDescent="0.25">
      <c r="A17" s="22" t="s">
        <v>41</v>
      </c>
      <c r="B17" s="22">
        <v>92265</v>
      </c>
    </row>
    <row r="18" spans="1:2" x14ac:dyDescent="0.25">
      <c r="A18" s="22" t="s">
        <v>42</v>
      </c>
      <c r="B18" s="22">
        <v>80312</v>
      </c>
    </row>
    <row r="19" spans="1:2" x14ac:dyDescent="0.25">
      <c r="A19" s="22" t="s">
        <v>43</v>
      </c>
      <c r="B19" s="22">
        <v>34557</v>
      </c>
    </row>
    <row r="20" spans="1:2" x14ac:dyDescent="0.25">
      <c r="A20" s="22" t="s">
        <v>44</v>
      </c>
      <c r="B20" s="22">
        <v>21193</v>
      </c>
    </row>
    <row r="21" spans="1:2" x14ac:dyDescent="0.25">
      <c r="A21" s="22" t="s">
        <v>45</v>
      </c>
      <c r="B21" s="22">
        <v>29120</v>
      </c>
    </row>
    <row r="22" spans="1:2" x14ac:dyDescent="0.25">
      <c r="A22" s="22" t="s">
        <v>46</v>
      </c>
      <c r="B22" s="22">
        <v>34889</v>
      </c>
    </row>
  </sheetData>
  <conditionalFormatting sqref="A3:B22">
    <cfRule type="expression" dxfId="3" priority="1">
      <formula>AND($B3&gt;=30000, $B3&lt;=49999)</formula>
    </cfRule>
    <cfRule type="expression" dxfId="2" priority="2">
      <formula>$B3&lt;30000</formula>
    </cfRule>
    <cfRule type="expression" dxfId="1" priority="3">
      <formula>AND($B2&gt;=30000, $B2&lt;=49999)</formula>
    </cfRule>
    <cfRule type="expression" dxfId="0" priority="5">
      <formula>$B3&gt;=50000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2B7DF-0EEB-4FDD-B717-FEF14FF48D9D}">
  <dimension ref="A1:D21"/>
  <sheetViews>
    <sheetView workbookViewId="0">
      <selection activeCell="D2" sqref="D2"/>
    </sheetView>
  </sheetViews>
  <sheetFormatPr defaultRowHeight="15.75" x14ac:dyDescent="0.25"/>
  <cols>
    <col min="1" max="2" width="30.5703125" style="10" bestFit="1" customWidth="1"/>
    <col min="3" max="3" width="17" style="10" bestFit="1" customWidth="1"/>
    <col min="4" max="4" width="14.5703125" style="10" bestFit="1" customWidth="1"/>
    <col min="5" max="16384" width="9.140625" style="10"/>
  </cols>
  <sheetData>
    <row r="1" spans="1:4" x14ac:dyDescent="0.25">
      <c r="A1" s="42" t="s">
        <v>156</v>
      </c>
      <c r="B1" s="42" t="s">
        <v>157</v>
      </c>
      <c r="C1" s="42" t="s">
        <v>158</v>
      </c>
      <c r="D1" s="42" t="s">
        <v>159</v>
      </c>
    </row>
    <row r="2" spans="1:4" x14ac:dyDescent="0.25">
      <c r="A2" s="10" t="s">
        <v>160</v>
      </c>
      <c r="B2" s="10" t="str">
        <f>TRIM(A2)</f>
        <v>arjun.patel92@gmail.com</v>
      </c>
      <c r="C2" s="10" t="str">
        <f>LEFT(B2,FIND("@",B2)-1)</f>
        <v>arjun.patel92</v>
      </c>
      <c r="D2" s="10" t="str">
        <f>RIGHT(B2,LEN(B2)-FIND("@",B2))</f>
        <v>gmail.com</v>
      </c>
    </row>
    <row r="3" spans="1:4" x14ac:dyDescent="0.25">
      <c r="A3" s="10" t="s">
        <v>161</v>
      </c>
      <c r="B3" s="10" t="str">
        <f t="shared" ref="B3:B21" si="0">TRIM(A3)</f>
        <v>neha.verma.design@outlook.com</v>
      </c>
      <c r="C3" s="10" t="str">
        <f t="shared" ref="C3:C21" si="1">LEFT(B3,FIND("@",B3)-1)</f>
        <v>neha.verma.design</v>
      </c>
      <c r="D3" s="10" t="str">
        <f t="shared" ref="D3:D21" si="2">RIGHT(B3,LEN(B3)-FIND("@",B3))</f>
        <v>outlook.com</v>
      </c>
    </row>
    <row r="4" spans="1:4" x14ac:dyDescent="0.25">
      <c r="A4" s="10" t="s">
        <v>162</v>
      </c>
      <c r="B4" s="10" t="str">
        <f t="shared" si="0"/>
        <v>techguru_rahul@yahoo.com</v>
      </c>
      <c r="C4" s="10" t="str">
        <f t="shared" si="1"/>
        <v>techguru_rahul</v>
      </c>
      <c r="D4" s="10" t="str">
        <f t="shared" si="2"/>
        <v>yahoo.com</v>
      </c>
    </row>
    <row r="5" spans="1:4" x14ac:dyDescent="0.25">
      <c r="A5" s="10" t="s">
        <v>163</v>
      </c>
      <c r="B5" s="10" t="str">
        <f t="shared" si="0"/>
        <v>priya.kapoor@protonmail.com</v>
      </c>
      <c r="C5" s="10" t="str">
        <f t="shared" si="1"/>
        <v>priya.kapoor</v>
      </c>
      <c r="D5" s="10" t="str">
        <f t="shared" si="2"/>
        <v>protonmail.com</v>
      </c>
    </row>
    <row r="6" spans="1:4" x14ac:dyDescent="0.25">
      <c r="A6" s="10" t="s">
        <v>164</v>
      </c>
      <c r="B6" s="10" t="str">
        <f t="shared" si="0"/>
        <v>devansh.mehta@icloud.com</v>
      </c>
      <c r="C6" s="10" t="str">
        <f t="shared" si="1"/>
        <v>devansh.mehta</v>
      </c>
      <c r="D6" s="10" t="str">
        <f t="shared" si="2"/>
        <v>icloud.com</v>
      </c>
    </row>
    <row r="7" spans="1:4" x14ac:dyDescent="0.25">
      <c r="A7" s="10" t="s">
        <v>165</v>
      </c>
      <c r="B7" s="10" t="str">
        <f t="shared" si="0"/>
        <v>curiousmind123@zoho.com</v>
      </c>
      <c r="C7" s="10" t="str">
        <f t="shared" si="1"/>
        <v>curiousmind123</v>
      </c>
      <c r="D7" s="10" t="str">
        <f t="shared" si="2"/>
        <v>zoho.com</v>
      </c>
    </row>
    <row r="8" spans="1:4" x14ac:dyDescent="0.25">
      <c r="A8" s="10" t="s">
        <v>166</v>
      </c>
      <c r="B8" s="10" t="str">
        <f t="shared" si="0"/>
        <v>ankit.shah.dev@mail.com</v>
      </c>
      <c r="C8" s="10" t="str">
        <f t="shared" si="1"/>
        <v>ankit.shah.dev</v>
      </c>
      <c r="D8" s="10" t="str">
        <f t="shared" si="2"/>
        <v>mail.com</v>
      </c>
    </row>
    <row r="9" spans="1:4" x14ac:dyDescent="0.25">
      <c r="A9" s="10" t="s">
        <v>167</v>
      </c>
      <c r="B9" s="10" t="str">
        <f t="shared" si="0"/>
        <v>simran.kaur88@aol.com</v>
      </c>
      <c r="C9" s="10" t="str">
        <f t="shared" si="1"/>
        <v>simran.kaur88</v>
      </c>
      <c r="D9" s="10" t="str">
        <f t="shared" si="2"/>
        <v>aol.com</v>
      </c>
    </row>
    <row r="10" spans="1:4" x14ac:dyDescent="0.25">
      <c r="A10" s="10" t="s">
        <v>168</v>
      </c>
      <c r="B10" s="10" t="str">
        <f t="shared" si="0"/>
        <v>rohan.das@fastmail.com</v>
      </c>
      <c r="C10" s="10" t="str">
        <f t="shared" si="1"/>
        <v>rohan.das</v>
      </c>
      <c r="D10" s="10" t="str">
        <f t="shared" si="2"/>
        <v>fastmail.com</v>
      </c>
    </row>
    <row r="11" spans="1:4" x14ac:dyDescent="0.25">
      <c r="A11" s="10" t="s">
        <v>169</v>
      </c>
      <c r="B11" s="10" t="str">
        <f t="shared" si="0"/>
        <v>learning.with.ria@gmx.com</v>
      </c>
      <c r="C11" s="10" t="str">
        <f t="shared" si="1"/>
        <v>learning.with.ria</v>
      </c>
      <c r="D11" s="10" t="str">
        <f t="shared" si="2"/>
        <v>gmx.com</v>
      </c>
    </row>
    <row r="12" spans="1:4" x14ac:dyDescent="0.25">
      <c r="A12" s="10" t="s">
        <v>170</v>
      </c>
      <c r="B12" s="10" t="str">
        <f t="shared" si="0"/>
        <v>yash_trivedi@rediffmail.com</v>
      </c>
      <c r="C12" s="10" t="str">
        <f t="shared" si="1"/>
        <v>yash_trivedi</v>
      </c>
      <c r="D12" s="10" t="str">
        <f t="shared" si="2"/>
        <v>rediffmail.com</v>
      </c>
    </row>
    <row r="13" spans="1:4" x14ac:dyDescent="0.25">
      <c r="A13" s="10" t="s">
        <v>171</v>
      </c>
      <c r="B13" s="10" t="str">
        <f t="shared" si="0"/>
        <v>coder.vikas@tutanota.com</v>
      </c>
      <c r="C13" s="10" t="str">
        <f t="shared" si="1"/>
        <v>coder.vikas</v>
      </c>
      <c r="D13" s="10" t="str">
        <f t="shared" si="2"/>
        <v>tutanota.com</v>
      </c>
    </row>
    <row r="14" spans="1:4" x14ac:dyDescent="0.25">
      <c r="A14" s="10" t="s">
        <v>172</v>
      </c>
      <c r="B14" s="10" t="str">
        <f t="shared" si="0"/>
        <v>sneha.joshi@live.com</v>
      </c>
      <c r="C14" s="10" t="str">
        <f t="shared" si="1"/>
        <v>sneha.joshi</v>
      </c>
      <c r="D14" s="10" t="str">
        <f t="shared" si="2"/>
        <v>live.com</v>
      </c>
    </row>
    <row r="15" spans="1:4" x14ac:dyDescent="0.25">
      <c r="A15" s="10" t="s">
        <v>173</v>
      </c>
      <c r="B15" s="10" t="str">
        <f t="shared" si="0"/>
        <v>rajdeep.singh@inbox.com</v>
      </c>
      <c r="C15" s="10" t="str">
        <f t="shared" si="1"/>
        <v>rajdeep.singh</v>
      </c>
      <c r="D15" s="10" t="str">
        <f t="shared" si="2"/>
        <v>inbox.com</v>
      </c>
    </row>
    <row r="16" spans="1:4" x14ac:dyDescent="0.25">
      <c r="A16" s="10" t="s">
        <v>174</v>
      </c>
      <c r="B16" s="10" t="str">
        <f t="shared" si="0"/>
        <v>digital.nomad.adi@hey.com</v>
      </c>
      <c r="C16" s="10" t="str">
        <f t="shared" si="1"/>
        <v>digital.nomad.adi</v>
      </c>
      <c r="D16" s="10" t="str">
        <f t="shared" si="2"/>
        <v>hey.com</v>
      </c>
    </row>
    <row r="17" spans="1:4" x14ac:dyDescent="0.25">
      <c r="A17" s="10" t="s">
        <v>175</v>
      </c>
      <c r="B17" s="10" t="str">
        <f t="shared" si="0"/>
        <v>kavya.nair@hushmail.com</v>
      </c>
      <c r="C17" s="10" t="str">
        <f t="shared" si="1"/>
        <v>kavya.nair</v>
      </c>
      <c r="D17" s="10" t="str">
        <f t="shared" si="2"/>
        <v>hushmail.com</v>
      </c>
    </row>
    <row r="18" spans="1:4" x14ac:dyDescent="0.25">
      <c r="A18" s="10" t="s">
        <v>176</v>
      </c>
      <c r="B18" s="10" t="str">
        <f t="shared" si="0"/>
        <v>amitabh_rocks@lycos.com</v>
      </c>
      <c r="C18" s="10" t="str">
        <f t="shared" si="1"/>
        <v>amitabh_rocks</v>
      </c>
      <c r="D18" s="10" t="str">
        <f t="shared" si="2"/>
        <v>lycos.com</v>
      </c>
    </row>
    <row r="19" spans="1:4" x14ac:dyDescent="0.25">
      <c r="A19" s="10" t="s">
        <v>177</v>
      </c>
      <c r="B19" s="10" t="str">
        <f t="shared" si="0"/>
        <v>shreya.banerjee@web.de</v>
      </c>
      <c r="C19" s="10" t="str">
        <f t="shared" si="1"/>
        <v>shreya.banerjee</v>
      </c>
      <c r="D19" s="10" t="str">
        <f t="shared" si="2"/>
        <v>web.de</v>
      </c>
    </row>
    <row r="20" spans="1:4" x14ac:dyDescent="0.25">
      <c r="A20" s="10" t="s">
        <v>178</v>
      </c>
      <c r="B20" s="10" t="str">
        <f t="shared" si="0"/>
        <v>future.ceo.manav@posteo.net</v>
      </c>
      <c r="C20" s="10" t="str">
        <f t="shared" si="1"/>
        <v>future.ceo.manav</v>
      </c>
      <c r="D20" s="10" t="str">
        <f t="shared" si="2"/>
        <v>posteo.net</v>
      </c>
    </row>
    <row r="21" spans="1:4" x14ac:dyDescent="0.25">
      <c r="A21" s="10" t="s">
        <v>179</v>
      </c>
      <c r="B21" s="10" t="str">
        <f t="shared" si="0"/>
        <v>nisha.creates@runbox.com</v>
      </c>
      <c r="C21" s="10" t="str">
        <f t="shared" si="1"/>
        <v>nisha.creates</v>
      </c>
      <c r="D21" s="10" t="str">
        <f t="shared" si="2"/>
        <v>runbox.com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29F89-1D5D-4FE0-B4A1-6AB943433487}">
  <dimension ref="A1:D26"/>
  <sheetViews>
    <sheetView workbookViewId="0">
      <selection activeCell="D3" sqref="D3"/>
    </sheetView>
  </sheetViews>
  <sheetFormatPr defaultRowHeight="15" x14ac:dyDescent="0.25"/>
  <cols>
    <col min="1" max="1" width="13.140625" bestFit="1" customWidth="1"/>
    <col min="2" max="2" width="15.5703125" bestFit="1" customWidth="1"/>
    <col min="3" max="3" width="13.42578125" bestFit="1" customWidth="1"/>
    <col min="4" max="4" width="19.5703125" bestFit="1" customWidth="1"/>
  </cols>
  <sheetData>
    <row r="1" spans="1:4" x14ac:dyDescent="0.25">
      <c r="A1" s="55" t="s">
        <v>190</v>
      </c>
      <c r="B1" s="55"/>
      <c r="C1" s="55"/>
      <c r="D1" s="55"/>
    </row>
    <row r="2" spans="1:4" x14ac:dyDescent="0.25">
      <c r="A2" s="37" t="s">
        <v>180</v>
      </c>
      <c r="B2" s="37" t="s">
        <v>181</v>
      </c>
      <c r="C2" s="37" t="s">
        <v>182</v>
      </c>
      <c r="D2" s="37" t="s">
        <v>183</v>
      </c>
    </row>
    <row r="3" spans="1:4" x14ac:dyDescent="0.25">
      <c r="A3" s="38" t="s">
        <v>184</v>
      </c>
      <c r="B3" s="38">
        <v>45</v>
      </c>
      <c r="C3" s="38">
        <v>92</v>
      </c>
      <c r="D3" s="38" t="str">
        <f>IF(AND(C3&gt;=90,B3&gt;=40),"Excellent",IF(C3&gt;40,"Good","Needs Improvement"))</f>
        <v>Excellent</v>
      </c>
    </row>
    <row r="4" spans="1:4" x14ac:dyDescent="0.25">
      <c r="A4" s="38" t="s">
        <v>185</v>
      </c>
      <c r="B4" s="38">
        <v>38</v>
      </c>
      <c r="C4" s="38">
        <v>85</v>
      </c>
      <c r="D4" s="38" t="str">
        <f t="shared" ref="D4:D7" si="0">IF(AND(C4&gt;=90,B4&gt;=40),"Excellent",IF(C4&gt;40,"Good","Needs Improvement"))</f>
        <v>Good</v>
      </c>
    </row>
    <row r="5" spans="1:4" x14ac:dyDescent="0.25">
      <c r="A5" s="38" t="s">
        <v>186</v>
      </c>
      <c r="B5" s="38">
        <v>50</v>
      </c>
      <c r="C5" s="38">
        <v>95</v>
      </c>
      <c r="D5" s="38" t="str">
        <f t="shared" si="0"/>
        <v>Excellent</v>
      </c>
    </row>
    <row r="6" spans="1:4" x14ac:dyDescent="0.25">
      <c r="A6" s="38" t="s">
        <v>187</v>
      </c>
      <c r="B6" s="38">
        <v>30</v>
      </c>
      <c r="C6" s="38">
        <v>70</v>
      </c>
      <c r="D6" s="38" t="str">
        <f t="shared" si="0"/>
        <v>Good</v>
      </c>
    </row>
    <row r="7" spans="1:4" x14ac:dyDescent="0.25">
      <c r="A7" s="38" t="s">
        <v>188</v>
      </c>
      <c r="B7" s="38">
        <v>42</v>
      </c>
      <c r="C7" s="38">
        <v>88</v>
      </c>
      <c r="D7" s="38" t="str">
        <f t="shared" si="0"/>
        <v>Good</v>
      </c>
    </row>
    <row r="8" spans="1:4" x14ac:dyDescent="0.25">
      <c r="A8" s="41" t="s">
        <v>189</v>
      </c>
      <c r="B8" s="41">
        <v>32</v>
      </c>
      <c r="C8" s="41">
        <v>38</v>
      </c>
      <c r="D8" s="38" t="str">
        <f>IF(AND(C8&gt;=90,B8&gt;=40),"Excellent",IF(C8&gt;40,"Good","Needs Improvement"))</f>
        <v>Needs Improvement</v>
      </c>
    </row>
    <row r="9" spans="1:4" x14ac:dyDescent="0.25">
      <c r="A9" s="38" t="s">
        <v>184</v>
      </c>
      <c r="B9" s="38">
        <v>40</v>
      </c>
      <c r="C9" s="38">
        <v>51</v>
      </c>
      <c r="D9" s="38" t="str">
        <f t="shared" ref="D9:D23" si="1">IF(AND(C9&gt;=90,B9&gt;=40),"Excellent",IF(C9&gt;40,"Good","Needs Improvement"))</f>
        <v>Good</v>
      </c>
    </row>
    <row r="10" spans="1:4" x14ac:dyDescent="0.25">
      <c r="A10" s="38" t="s">
        <v>185</v>
      </c>
      <c r="B10" s="38">
        <v>49</v>
      </c>
      <c r="C10" s="38">
        <v>22</v>
      </c>
      <c r="D10" s="38" t="str">
        <f t="shared" si="1"/>
        <v>Needs Improvement</v>
      </c>
    </row>
    <row r="11" spans="1:4" x14ac:dyDescent="0.25">
      <c r="A11" s="38" t="s">
        <v>186</v>
      </c>
      <c r="B11" s="38">
        <v>53</v>
      </c>
      <c r="C11" s="38">
        <v>27</v>
      </c>
      <c r="D11" s="38" t="str">
        <f t="shared" si="1"/>
        <v>Needs Improvement</v>
      </c>
    </row>
    <row r="12" spans="1:4" x14ac:dyDescent="0.25">
      <c r="A12" s="38" t="s">
        <v>187</v>
      </c>
      <c r="B12" s="38">
        <v>43</v>
      </c>
      <c r="C12" s="38">
        <v>24</v>
      </c>
      <c r="D12" s="38" t="str">
        <f t="shared" si="1"/>
        <v>Needs Improvement</v>
      </c>
    </row>
    <row r="13" spans="1:4" x14ac:dyDescent="0.25">
      <c r="A13" s="38" t="s">
        <v>188</v>
      </c>
      <c r="B13" s="38">
        <v>39</v>
      </c>
      <c r="C13" s="38">
        <v>11</v>
      </c>
      <c r="D13" s="38" t="str">
        <f t="shared" si="1"/>
        <v>Needs Improvement</v>
      </c>
    </row>
    <row r="14" spans="1:4" x14ac:dyDescent="0.25">
      <c r="A14" s="41" t="s">
        <v>189</v>
      </c>
      <c r="B14" s="38">
        <v>42</v>
      </c>
      <c r="C14" s="38">
        <v>24</v>
      </c>
      <c r="D14" s="38" t="str">
        <f t="shared" si="1"/>
        <v>Needs Improvement</v>
      </c>
    </row>
    <row r="15" spans="1:4" x14ac:dyDescent="0.25">
      <c r="A15" s="38" t="s">
        <v>184</v>
      </c>
      <c r="B15" s="38">
        <v>36</v>
      </c>
      <c r="C15" s="38">
        <v>38</v>
      </c>
      <c r="D15" s="38" t="str">
        <f t="shared" si="1"/>
        <v>Needs Improvement</v>
      </c>
    </row>
    <row r="16" spans="1:4" x14ac:dyDescent="0.25">
      <c r="A16" s="38" t="s">
        <v>185</v>
      </c>
      <c r="B16" s="38">
        <v>41</v>
      </c>
      <c r="C16" s="38">
        <v>31</v>
      </c>
      <c r="D16" s="38" t="str">
        <f t="shared" si="1"/>
        <v>Needs Improvement</v>
      </c>
    </row>
    <row r="17" spans="1:4" x14ac:dyDescent="0.25">
      <c r="A17" s="38" t="s">
        <v>186</v>
      </c>
      <c r="B17" s="38">
        <v>56</v>
      </c>
      <c r="C17" s="38">
        <v>77</v>
      </c>
      <c r="D17" s="38" t="str">
        <f t="shared" si="1"/>
        <v>Good</v>
      </c>
    </row>
    <row r="18" spans="1:4" x14ac:dyDescent="0.25">
      <c r="A18" s="38" t="s">
        <v>187</v>
      </c>
      <c r="B18" s="38">
        <v>54</v>
      </c>
      <c r="C18" s="38">
        <v>41</v>
      </c>
      <c r="D18" s="38" t="str">
        <f t="shared" si="1"/>
        <v>Good</v>
      </c>
    </row>
    <row r="19" spans="1:4" x14ac:dyDescent="0.25">
      <c r="A19" s="38" t="s">
        <v>188</v>
      </c>
      <c r="B19" s="38">
        <v>45</v>
      </c>
      <c r="C19" s="38">
        <v>31</v>
      </c>
      <c r="D19" s="38" t="str">
        <f t="shared" si="1"/>
        <v>Needs Improvement</v>
      </c>
    </row>
    <row r="20" spans="1:4" x14ac:dyDescent="0.25">
      <c r="A20" s="41" t="s">
        <v>189</v>
      </c>
      <c r="B20" s="38">
        <v>56</v>
      </c>
      <c r="C20" s="38">
        <v>73</v>
      </c>
      <c r="D20" s="38" t="str">
        <f t="shared" si="1"/>
        <v>Good</v>
      </c>
    </row>
    <row r="21" spans="1:4" x14ac:dyDescent="0.25">
      <c r="A21" s="38" t="s">
        <v>184</v>
      </c>
      <c r="B21" s="38">
        <v>39</v>
      </c>
      <c r="C21" s="38">
        <v>31</v>
      </c>
      <c r="D21" s="38" t="str">
        <f t="shared" si="1"/>
        <v>Needs Improvement</v>
      </c>
    </row>
    <row r="22" spans="1:4" x14ac:dyDescent="0.25">
      <c r="A22" s="38" t="s">
        <v>185</v>
      </c>
      <c r="B22" s="38">
        <v>59</v>
      </c>
      <c r="C22" s="38">
        <v>43</v>
      </c>
      <c r="D22" s="38" t="str">
        <f t="shared" si="1"/>
        <v>Good</v>
      </c>
    </row>
    <row r="23" spans="1:4" x14ac:dyDescent="0.25">
      <c r="A23" s="38" t="s">
        <v>186</v>
      </c>
      <c r="B23" s="38">
        <v>45</v>
      </c>
      <c r="C23" s="38">
        <v>88</v>
      </c>
      <c r="D23" s="38" t="str">
        <f t="shared" si="1"/>
        <v>Good</v>
      </c>
    </row>
    <row r="24" spans="1:4" x14ac:dyDescent="0.25">
      <c r="A24" s="38" t="s">
        <v>187</v>
      </c>
      <c r="B24" s="38">
        <v>38</v>
      </c>
      <c r="C24" s="38">
        <v>72</v>
      </c>
      <c r="D24" s="38"/>
    </row>
    <row r="25" spans="1:4" x14ac:dyDescent="0.25">
      <c r="A25" s="40"/>
    </row>
    <row r="26" spans="1:4" x14ac:dyDescent="0.25">
      <c r="A26" s="39"/>
    </row>
  </sheetData>
  <mergeCells count="1">
    <mergeCell ref="A1:D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5F8C6-C50C-4C60-AEF8-0390BE8DB560}">
  <dimension ref="A1:D22"/>
  <sheetViews>
    <sheetView topLeftCell="A2" zoomScaleNormal="100" workbookViewId="0">
      <selection activeCell="B3" sqref="B3:B22"/>
    </sheetView>
  </sheetViews>
  <sheetFormatPr defaultRowHeight="15" x14ac:dyDescent="0.25"/>
  <cols>
    <col min="2" max="2" width="13.85546875" bestFit="1" customWidth="1"/>
    <col min="3" max="3" width="6.42578125" bestFit="1" customWidth="1"/>
  </cols>
  <sheetData>
    <row r="1" spans="1:4" x14ac:dyDescent="0.25">
      <c r="A1" s="56" t="s">
        <v>191</v>
      </c>
      <c r="B1" s="57"/>
      <c r="C1" s="57"/>
      <c r="D1" s="57"/>
    </row>
    <row r="2" spans="1:4" x14ac:dyDescent="0.25">
      <c r="A2" s="43" t="s">
        <v>65</v>
      </c>
      <c r="B2" s="43" t="s">
        <v>66</v>
      </c>
      <c r="C2" s="43" t="s">
        <v>154</v>
      </c>
      <c r="D2" s="43" t="s">
        <v>192</v>
      </c>
    </row>
    <row r="3" spans="1:4" x14ac:dyDescent="0.25">
      <c r="A3" s="38">
        <v>1</v>
      </c>
      <c r="B3" s="38" t="s">
        <v>6</v>
      </c>
      <c r="C3" s="38">
        <v>12</v>
      </c>
      <c r="D3" s="38" t="str">
        <f>IF(C3&gt;=40,"PASS","FAIL")</f>
        <v>FAIL</v>
      </c>
    </row>
    <row r="4" spans="1:4" x14ac:dyDescent="0.25">
      <c r="A4" s="38">
        <v>2</v>
      </c>
      <c r="B4" s="38" t="s">
        <v>9</v>
      </c>
      <c r="C4" s="38">
        <v>5</v>
      </c>
      <c r="D4" s="38" t="str">
        <f t="shared" ref="D4:D22" si="0">IF(C4&gt;=40,"PASS","FAIL")</f>
        <v>FAIL</v>
      </c>
    </row>
    <row r="5" spans="1:4" x14ac:dyDescent="0.25">
      <c r="A5" s="38">
        <v>3</v>
      </c>
      <c r="B5" s="38" t="s">
        <v>12</v>
      </c>
      <c r="C5" s="38">
        <v>21</v>
      </c>
      <c r="D5" s="38" t="str">
        <f t="shared" si="0"/>
        <v>FAIL</v>
      </c>
    </row>
    <row r="6" spans="1:4" x14ac:dyDescent="0.25">
      <c r="A6" s="38">
        <v>4</v>
      </c>
      <c r="B6" s="38" t="s">
        <v>14</v>
      </c>
      <c r="C6" s="38">
        <v>36</v>
      </c>
      <c r="D6" s="38" t="str">
        <f t="shared" si="0"/>
        <v>FAIL</v>
      </c>
    </row>
    <row r="7" spans="1:4" x14ac:dyDescent="0.25">
      <c r="A7" s="38">
        <v>5</v>
      </c>
      <c r="B7" s="38" t="s">
        <v>16</v>
      </c>
      <c r="C7" s="38">
        <v>38</v>
      </c>
      <c r="D7" s="38" t="str">
        <f t="shared" si="0"/>
        <v>FAIL</v>
      </c>
    </row>
    <row r="8" spans="1:4" x14ac:dyDescent="0.25">
      <c r="A8" s="38">
        <v>6</v>
      </c>
      <c r="B8" s="38" t="s">
        <v>32</v>
      </c>
      <c r="C8" s="38">
        <v>68</v>
      </c>
      <c r="D8" s="38" t="str">
        <f t="shared" si="0"/>
        <v>PASS</v>
      </c>
    </row>
    <row r="9" spans="1:4" x14ac:dyDescent="0.25">
      <c r="A9" s="38">
        <v>7</v>
      </c>
      <c r="B9" s="38" t="s">
        <v>33</v>
      </c>
      <c r="C9" s="38">
        <v>63</v>
      </c>
      <c r="D9" s="38" t="str">
        <f t="shared" si="0"/>
        <v>PASS</v>
      </c>
    </row>
    <row r="10" spans="1:4" x14ac:dyDescent="0.25">
      <c r="A10" s="38">
        <v>8</v>
      </c>
      <c r="B10" s="38" t="s">
        <v>34</v>
      </c>
      <c r="C10" s="38">
        <v>72</v>
      </c>
      <c r="D10" s="38" t="str">
        <f t="shared" si="0"/>
        <v>PASS</v>
      </c>
    </row>
    <row r="11" spans="1:4" x14ac:dyDescent="0.25">
      <c r="A11" s="38">
        <v>9</v>
      </c>
      <c r="B11" s="38" t="s">
        <v>35</v>
      </c>
      <c r="C11" s="38">
        <v>72</v>
      </c>
      <c r="D11" s="38" t="str">
        <f t="shared" si="0"/>
        <v>PASS</v>
      </c>
    </row>
    <row r="12" spans="1:4" x14ac:dyDescent="0.25">
      <c r="A12" s="38">
        <v>10</v>
      </c>
      <c r="B12" s="38" t="s">
        <v>36</v>
      </c>
      <c r="C12" s="38">
        <v>20</v>
      </c>
      <c r="D12" s="38" t="str">
        <f t="shared" si="0"/>
        <v>FAIL</v>
      </c>
    </row>
    <row r="13" spans="1:4" x14ac:dyDescent="0.25">
      <c r="A13" s="38">
        <v>11</v>
      </c>
      <c r="B13" s="38" t="s">
        <v>37</v>
      </c>
      <c r="C13" s="38">
        <v>83</v>
      </c>
      <c r="D13" s="38" t="str">
        <f t="shared" si="0"/>
        <v>PASS</v>
      </c>
    </row>
    <row r="14" spans="1:4" x14ac:dyDescent="0.25">
      <c r="A14" s="38">
        <v>12</v>
      </c>
      <c r="B14" s="38" t="s">
        <v>38</v>
      </c>
      <c r="C14" s="38">
        <v>56</v>
      </c>
      <c r="D14" s="38" t="str">
        <f t="shared" si="0"/>
        <v>PASS</v>
      </c>
    </row>
    <row r="15" spans="1:4" x14ac:dyDescent="0.25">
      <c r="A15" s="38">
        <v>13</v>
      </c>
      <c r="B15" s="38" t="s">
        <v>39</v>
      </c>
      <c r="C15" s="38">
        <v>20</v>
      </c>
      <c r="D15" s="38" t="str">
        <f t="shared" si="0"/>
        <v>FAIL</v>
      </c>
    </row>
    <row r="16" spans="1:4" x14ac:dyDescent="0.25">
      <c r="A16" s="38">
        <v>14</v>
      </c>
      <c r="B16" s="38" t="s">
        <v>40</v>
      </c>
      <c r="C16" s="38">
        <v>95</v>
      </c>
      <c r="D16" s="38" t="str">
        <f t="shared" si="0"/>
        <v>PASS</v>
      </c>
    </row>
    <row r="17" spans="1:4" x14ac:dyDescent="0.25">
      <c r="A17" s="38">
        <v>15</v>
      </c>
      <c r="B17" s="38" t="s">
        <v>41</v>
      </c>
      <c r="C17" s="38">
        <v>52</v>
      </c>
      <c r="D17" s="38" t="str">
        <f t="shared" si="0"/>
        <v>PASS</v>
      </c>
    </row>
    <row r="18" spans="1:4" x14ac:dyDescent="0.25">
      <c r="A18" s="38">
        <v>16</v>
      </c>
      <c r="B18" s="38" t="s">
        <v>42</v>
      </c>
      <c r="C18" s="38">
        <v>11</v>
      </c>
      <c r="D18" s="38" t="str">
        <f t="shared" si="0"/>
        <v>FAIL</v>
      </c>
    </row>
    <row r="19" spans="1:4" x14ac:dyDescent="0.25">
      <c r="A19" s="38">
        <v>17</v>
      </c>
      <c r="B19" s="38" t="s">
        <v>43</v>
      </c>
      <c r="C19" s="38">
        <v>6</v>
      </c>
      <c r="D19" s="38" t="str">
        <f t="shared" si="0"/>
        <v>FAIL</v>
      </c>
    </row>
    <row r="20" spans="1:4" x14ac:dyDescent="0.25">
      <c r="A20" s="38">
        <v>18</v>
      </c>
      <c r="B20" s="38" t="s">
        <v>44</v>
      </c>
      <c r="C20" s="38">
        <v>100</v>
      </c>
      <c r="D20" s="38" t="str">
        <f t="shared" si="0"/>
        <v>PASS</v>
      </c>
    </row>
    <row r="21" spans="1:4" x14ac:dyDescent="0.25">
      <c r="A21" s="38">
        <v>19</v>
      </c>
      <c r="B21" s="38" t="s">
        <v>45</v>
      </c>
      <c r="C21" s="38">
        <v>82</v>
      </c>
      <c r="D21" s="38" t="str">
        <f t="shared" si="0"/>
        <v>PASS</v>
      </c>
    </row>
    <row r="22" spans="1:4" x14ac:dyDescent="0.25">
      <c r="A22" s="38">
        <v>20</v>
      </c>
      <c r="B22" s="38" t="s">
        <v>46</v>
      </c>
      <c r="C22" s="38">
        <v>91</v>
      </c>
      <c r="D22" s="38" t="str">
        <f t="shared" si="0"/>
        <v>PASS</v>
      </c>
    </row>
  </sheetData>
  <mergeCells count="1">
    <mergeCell ref="A1: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5878E-79ED-4055-AF18-22E4BA6B9D67}">
  <dimension ref="A1:C22"/>
  <sheetViews>
    <sheetView workbookViewId="0">
      <selection activeCell="A3" sqref="A3:A22"/>
    </sheetView>
  </sheetViews>
  <sheetFormatPr defaultRowHeight="15" x14ac:dyDescent="0.25"/>
  <cols>
    <col min="1" max="1" width="16" bestFit="1" customWidth="1"/>
    <col min="2" max="2" width="10.7109375" bestFit="1" customWidth="1"/>
    <col min="3" max="3" width="12.28515625" bestFit="1" customWidth="1"/>
  </cols>
  <sheetData>
    <row r="1" spans="1:3" x14ac:dyDescent="0.25">
      <c r="A1" s="56" t="s">
        <v>193</v>
      </c>
      <c r="B1" s="56"/>
      <c r="C1" s="56"/>
    </row>
    <row r="2" spans="1:3" x14ac:dyDescent="0.25">
      <c r="A2" s="38" t="s">
        <v>102</v>
      </c>
      <c r="B2" s="38" t="s">
        <v>3</v>
      </c>
      <c r="C2" s="38" t="s">
        <v>194</v>
      </c>
    </row>
    <row r="3" spans="1:3" x14ac:dyDescent="0.25">
      <c r="A3" s="38" t="s">
        <v>195</v>
      </c>
      <c r="B3" s="45">
        <v>43436</v>
      </c>
      <c r="C3" s="38" t="str">
        <f>IF(B3&gt;=40000,"Bonus","No Bonus")</f>
        <v>Bonus</v>
      </c>
    </row>
    <row r="4" spans="1:3" x14ac:dyDescent="0.25">
      <c r="A4" s="38" t="s">
        <v>196</v>
      </c>
      <c r="B4" s="45">
        <v>28722</v>
      </c>
      <c r="C4" s="38" t="str">
        <f t="shared" ref="C4:C22" si="0">IF(B4&gt;=40000,"Bonus","No Bonus")</f>
        <v>No Bonus</v>
      </c>
    </row>
    <row r="5" spans="1:3" x14ac:dyDescent="0.25">
      <c r="A5" s="38" t="s">
        <v>197</v>
      </c>
      <c r="B5" s="45">
        <v>39668</v>
      </c>
      <c r="C5" s="38" t="str">
        <f t="shared" si="0"/>
        <v>No Bonus</v>
      </c>
    </row>
    <row r="6" spans="1:3" x14ac:dyDescent="0.25">
      <c r="A6" s="38" t="s">
        <v>198</v>
      </c>
      <c r="B6" s="45">
        <v>52001</v>
      </c>
      <c r="C6" s="38" t="str">
        <f t="shared" si="0"/>
        <v>Bonus</v>
      </c>
    </row>
    <row r="7" spans="1:3" x14ac:dyDescent="0.25">
      <c r="A7" s="38" t="s">
        <v>199</v>
      </c>
      <c r="B7" s="45">
        <v>67573</v>
      </c>
      <c r="C7" s="38" t="str">
        <f t="shared" si="0"/>
        <v>Bonus</v>
      </c>
    </row>
    <row r="8" spans="1:3" x14ac:dyDescent="0.25">
      <c r="A8" s="38" t="s">
        <v>200</v>
      </c>
      <c r="B8" s="45">
        <v>67420</v>
      </c>
      <c r="C8" s="38" t="str">
        <f t="shared" si="0"/>
        <v>Bonus</v>
      </c>
    </row>
    <row r="9" spans="1:3" x14ac:dyDescent="0.25">
      <c r="A9" s="38" t="s">
        <v>201</v>
      </c>
      <c r="B9" s="45">
        <v>58697</v>
      </c>
      <c r="C9" s="38" t="str">
        <f t="shared" si="0"/>
        <v>Bonus</v>
      </c>
    </row>
    <row r="10" spans="1:3" x14ac:dyDescent="0.25">
      <c r="A10" s="38" t="s">
        <v>202</v>
      </c>
      <c r="B10" s="45">
        <v>17690</v>
      </c>
      <c r="C10" s="38" t="str">
        <f t="shared" si="0"/>
        <v>No Bonus</v>
      </c>
    </row>
    <row r="11" spans="1:3" x14ac:dyDescent="0.25">
      <c r="A11" s="38" t="s">
        <v>203</v>
      </c>
      <c r="B11" s="45">
        <v>50802</v>
      </c>
      <c r="C11" s="38" t="str">
        <f t="shared" si="0"/>
        <v>Bonus</v>
      </c>
    </row>
    <row r="12" spans="1:3" x14ac:dyDescent="0.25">
      <c r="A12" s="38" t="s">
        <v>204</v>
      </c>
      <c r="B12" s="45">
        <v>69460</v>
      </c>
      <c r="C12" s="38" t="str">
        <f t="shared" si="0"/>
        <v>Bonus</v>
      </c>
    </row>
    <row r="13" spans="1:3" x14ac:dyDescent="0.25">
      <c r="A13" s="38" t="s">
        <v>205</v>
      </c>
      <c r="B13" s="45">
        <v>26751</v>
      </c>
      <c r="C13" s="38" t="str">
        <f t="shared" si="0"/>
        <v>No Bonus</v>
      </c>
    </row>
    <row r="14" spans="1:3" x14ac:dyDescent="0.25">
      <c r="A14" s="38" t="s">
        <v>206</v>
      </c>
      <c r="B14" s="45">
        <v>27476</v>
      </c>
      <c r="C14" s="38" t="str">
        <f t="shared" si="0"/>
        <v>No Bonus</v>
      </c>
    </row>
    <row r="15" spans="1:3" x14ac:dyDescent="0.25">
      <c r="A15" s="38" t="s">
        <v>207</v>
      </c>
      <c r="B15" s="45">
        <v>52487</v>
      </c>
      <c r="C15" s="38" t="str">
        <f t="shared" si="0"/>
        <v>Bonus</v>
      </c>
    </row>
    <row r="16" spans="1:3" x14ac:dyDescent="0.25">
      <c r="A16" s="38" t="s">
        <v>208</v>
      </c>
      <c r="B16" s="45">
        <v>68932</v>
      </c>
      <c r="C16" s="38" t="str">
        <f t="shared" si="0"/>
        <v>Bonus</v>
      </c>
    </row>
    <row r="17" spans="1:3" x14ac:dyDescent="0.25">
      <c r="A17" s="38" t="s">
        <v>209</v>
      </c>
      <c r="B17" s="45">
        <v>51620</v>
      </c>
      <c r="C17" s="38" t="str">
        <f t="shared" si="0"/>
        <v>Bonus</v>
      </c>
    </row>
    <row r="18" spans="1:3" x14ac:dyDescent="0.25">
      <c r="A18" s="38" t="s">
        <v>210</v>
      </c>
      <c r="B18" s="45">
        <v>25102</v>
      </c>
      <c r="C18" s="38" t="str">
        <f t="shared" si="0"/>
        <v>No Bonus</v>
      </c>
    </row>
    <row r="19" spans="1:3" x14ac:dyDescent="0.25">
      <c r="A19" s="38" t="s">
        <v>211</v>
      </c>
      <c r="B19" s="45">
        <v>45251</v>
      </c>
      <c r="C19" s="38" t="str">
        <f t="shared" si="0"/>
        <v>Bonus</v>
      </c>
    </row>
    <row r="20" spans="1:3" x14ac:dyDescent="0.25">
      <c r="A20" s="38" t="s">
        <v>212</v>
      </c>
      <c r="B20" s="45">
        <v>58426</v>
      </c>
      <c r="C20" s="38" t="str">
        <f t="shared" si="0"/>
        <v>Bonus</v>
      </c>
    </row>
    <row r="21" spans="1:3" x14ac:dyDescent="0.25">
      <c r="A21" s="38" t="s">
        <v>213</v>
      </c>
      <c r="B21" s="45">
        <v>61364</v>
      </c>
      <c r="C21" s="38" t="str">
        <f t="shared" si="0"/>
        <v>Bonus</v>
      </c>
    </row>
    <row r="22" spans="1:3" x14ac:dyDescent="0.25">
      <c r="A22" s="38" t="s">
        <v>214</v>
      </c>
      <c r="B22" s="45">
        <v>64437</v>
      </c>
      <c r="C22" s="38" t="str">
        <f t="shared" si="0"/>
        <v>Bonus</v>
      </c>
    </row>
  </sheetData>
  <mergeCells count="1">
    <mergeCell ref="A1:C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2F432-FCE8-4F64-9BC7-8C5F0E6B0EC2}">
  <dimension ref="A1:D22"/>
  <sheetViews>
    <sheetView workbookViewId="0">
      <selection activeCell="I10" sqref="I10"/>
    </sheetView>
  </sheetViews>
  <sheetFormatPr defaultRowHeight="15" x14ac:dyDescent="0.25"/>
  <cols>
    <col min="2" max="2" width="18.28515625" bestFit="1" customWidth="1"/>
  </cols>
  <sheetData>
    <row r="1" spans="1:4" x14ac:dyDescent="0.25">
      <c r="A1" s="58" t="s">
        <v>216</v>
      </c>
      <c r="B1" s="58"/>
      <c r="C1" s="58"/>
      <c r="D1" s="58"/>
    </row>
    <row r="2" spans="1:4" x14ac:dyDescent="0.25">
      <c r="A2" s="43" t="s">
        <v>65</v>
      </c>
      <c r="B2" s="43" t="s">
        <v>66</v>
      </c>
      <c r="C2" s="43" t="s">
        <v>154</v>
      </c>
      <c r="D2" s="43" t="s">
        <v>215</v>
      </c>
    </row>
    <row r="3" spans="1:4" x14ac:dyDescent="0.25">
      <c r="A3" s="38">
        <v>1</v>
      </c>
      <c r="B3" s="38" t="s">
        <v>6</v>
      </c>
      <c r="C3" s="38">
        <v>12</v>
      </c>
      <c r="D3" s="38" t="str">
        <f>IF(C3&gt;70,"A",IF(C3&gt;60,"B",IF(C3&gt;=40,"C","Fail")))</f>
        <v>Fail</v>
      </c>
    </row>
    <row r="4" spans="1:4" x14ac:dyDescent="0.25">
      <c r="A4" s="38">
        <v>2</v>
      </c>
      <c r="B4" s="38" t="s">
        <v>9</v>
      </c>
      <c r="C4" s="38">
        <v>5</v>
      </c>
      <c r="D4" s="38" t="str">
        <f t="shared" ref="D4:D22" si="0">IF(C4&gt;70,"A",IF(C4&gt;60,"B",IF(C4&gt;=40,"C","Fail")))</f>
        <v>Fail</v>
      </c>
    </row>
    <row r="5" spans="1:4" x14ac:dyDescent="0.25">
      <c r="A5" s="38">
        <v>3</v>
      </c>
      <c r="B5" s="38" t="s">
        <v>12</v>
      </c>
      <c r="C5" s="38">
        <v>21</v>
      </c>
      <c r="D5" s="38" t="str">
        <f t="shared" si="0"/>
        <v>Fail</v>
      </c>
    </row>
    <row r="6" spans="1:4" x14ac:dyDescent="0.25">
      <c r="A6" s="38">
        <v>4</v>
      </c>
      <c r="B6" s="38" t="s">
        <v>14</v>
      </c>
      <c r="C6" s="38">
        <v>36</v>
      </c>
      <c r="D6" s="38" t="str">
        <f t="shared" si="0"/>
        <v>Fail</v>
      </c>
    </row>
    <row r="7" spans="1:4" x14ac:dyDescent="0.25">
      <c r="A7" s="38">
        <v>5</v>
      </c>
      <c r="B7" s="38" t="s">
        <v>16</v>
      </c>
      <c r="C7" s="38">
        <v>38</v>
      </c>
      <c r="D7" s="38" t="str">
        <f t="shared" si="0"/>
        <v>Fail</v>
      </c>
    </row>
    <row r="8" spans="1:4" x14ac:dyDescent="0.25">
      <c r="A8" s="38">
        <v>6</v>
      </c>
      <c r="B8" s="38" t="s">
        <v>32</v>
      </c>
      <c r="C8" s="38">
        <v>68</v>
      </c>
      <c r="D8" s="38" t="str">
        <f t="shared" si="0"/>
        <v>B</v>
      </c>
    </row>
    <row r="9" spans="1:4" x14ac:dyDescent="0.25">
      <c r="A9" s="38">
        <v>7</v>
      </c>
      <c r="B9" s="38" t="s">
        <v>33</v>
      </c>
      <c r="C9" s="38">
        <v>63</v>
      </c>
      <c r="D9" s="38" t="str">
        <f t="shared" si="0"/>
        <v>B</v>
      </c>
    </row>
    <row r="10" spans="1:4" x14ac:dyDescent="0.25">
      <c r="A10" s="38">
        <v>8</v>
      </c>
      <c r="B10" s="38" t="s">
        <v>34</v>
      </c>
      <c r="C10" s="38">
        <v>72</v>
      </c>
      <c r="D10" s="38" t="str">
        <f t="shared" si="0"/>
        <v>A</v>
      </c>
    </row>
    <row r="11" spans="1:4" x14ac:dyDescent="0.25">
      <c r="A11" s="38">
        <v>9</v>
      </c>
      <c r="B11" s="38" t="s">
        <v>35</v>
      </c>
      <c r="C11" s="38">
        <v>72</v>
      </c>
      <c r="D11" s="38" t="str">
        <f t="shared" si="0"/>
        <v>A</v>
      </c>
    </row>
    <row r="12" spans="1:4" x14ac:dyDescent="0.25">
      <c r="A12" s="38">
        <v>10</v>
      </c>
      <c r="B12" s="38" t="s">
        <v>36</v>
      </c>
      <c r="C12" s="38">
        <v>20</v>
      </c>
      <c r="D12" s="38" t="str">
        <f t="shared" si="0"/>
        <v>Fail</v>
      </c>
    </row>
    <row r="13" spans="1:4" x14ac:dyDescent="0.25">
      <c r="A13" s="38">
        <v>11</v>
      </c>
      <c r="B13" s="38" t="s">
        <v>37</v>
      </c>
      <c r="C13" s="38">
        <v>83</v>
      </c>
      <c r="D13" s="38" t="str">
        <f t="shared" si="0"/>
        <v>A</v>
      </c>
    </row>
    <row r="14" spans="1:4" x14ac:dyDescent="0.25">
      <c r="A14" s="38">
        <v>12</v>
      </c>
      <c r="B14" s="38" t="s">
        <v>38</v>
      </c>
      <c r="C14" s="38">
        <v>56</v>
      </c>
      <c r="D14" s="38" t="str">
        <f t="shared" si="0"/>
        <v>C</v>
      </c>
    </row>
    <row r="15" spans="1:4" x14ac:dyDescent="0.25">
      <c r="A15" s="38">
        <v>13</v>
      </c>
      <c r="B15" s="38" t="s">
        <v>39</v>
      </c>
      <c r="C15" s="38">
        <v>20</v>
      </c>
      <c r="D15" s="38" t="str">
        <f t="shared" si="0"/>
        <v>Fail</v>
      </c>
    </row>
    <row r="16" spans="1:4" x14ac:dyDescent="0.25">
      <c r="A16" s="38">
        <v>14</v>
      </c>
      <c r="B16" s="38" t="s">
        <v>40</v>
      </c>
      <c r="C16" s="38">
        <v>95</v>
      </c>
      <c r="D16" s="38" t="str">
        <f t="shared" si="0"/>
        <v>A</v>
      </c>
    </row>
    <row r="17" spans="1:4" x14ac:dyDescent="0.25">
      <c r="A17" s="38">
        <v>15</v>
      </c>
      <c r="B17" s="38" t="s">
        <v>41</v>
      </c>
      <c r="C17" s="38">
        <v>52</v>
      </c>
      <c r="D17" s="38" t="str">
        <f t="shared" si="0"/>
        <v>C</v>
      </c>
    </row>
    <row r="18" spans="1:4" x14ac:dyDescent="0.25">
      <c r="A18" s="38">
        <v>16</v>
      </c>
      <c r="B18" s="38" t="s">
        <v>42</v>
      </c>
      <c r="C18" s="38">
        <v>11</v>
      </c>
      <c r="D18" s="38" t="str">
        <f t="shared" si="0"/>
        <v>Fail</v>
      </c>
    </row>
    <row r="19" spans="1:4" x14ac:dyDescent="0.25">
      <c r="A19" s="38">
        <v>17</v>
      </c>
      <c r="B19" s="38" t="s">
        <v>43</v>
      </c>
      <c r="C19" s="38">
        <v>6</v>
      </c>
      <c r="D19" s="38" t="str">
        <f t="shared" si="0"/>
        <v>Fail</v>
      </c>
    </row>
    <row r="20" spans="1:4" x14ac:dyDescent="0.25">
      <c r="A20" s="38">
        <v>18</v>
      </c>
      <c r="B20" s="38" t="s">
        <v>44</v>
      </c>
      <c r="C20" s="38">
        <v>100</v>
      </c>
      <c r="D20" s="38" t="str">
        <f t="shared" si="0"/>
        <v>A</v>
      </c>
    </row>
    <row r="21" spans="1:4" x14ac:dyDescent="0.25">
      <c r="A21" s="38">
        <v>19</v>
      </c>
      <c r="B21" s="38" t="s">
        <v>45</v>
      </c>
      <c r="C21" s="38">
        <v>82</v>
      </c>
      <c r="D21" s="38" t="str">
        <f t="shared" si="0"/>
        <v>A</v>
      </c>
    </row>
    <row r="22" spans="1:4" x14ac:dyDescent="0.25">
      <c r="A22" s="38">
        <v>20</v>
      </c>
      <c r="B22" s="38" t="s">
        <v>46</v>
      </c>
      <c r="C22" s="38">
        <v>91</v>
      </c>
      <c r="D22" s="38" t="str">
        <f t="shared" si="0"/>
        <v>A</v>
      </c>
    </row>
  </sheetData>
  <mergeCells count="1">
    <mergeCell ref="A1:D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EFEFD-611C-4832-BDF7-61F66AD2311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279AE-8DB3-4F4A-994A-B7612B4C7846}">
  <dimension ref="A2:D22"/>
  <sheetViews>
    <sheetView topLeftCell="A10" workbookViewId="0">
      <selection activeCell="F5" sqref="F5"/>
    </sheetView>
  </sheetViews>
  <sheetFormatPr defaultRowHeight="15" x14ac:dyDescent="0.25"/>
  <cols>
    <col min="1" max="1" width="18.28515625" bestFit="1" customWidth="1"/>
    <col min="2" max="2" width="4.42578125" bestFit="1" customWidth="1"/>
    <col min="3" max="3" width="17.42578125" bestFit="1" customWidth="1"/>
    <col min="4" max="4" width="11.28515625" bestFit="1" customWidth="1"/>
  </cols>
  <sheetData>
    <row r="2" spans="1:4" x14ac:dyDescent="0.25">
      <c r="A2" s="43" t="s">
        <v>1</v>
      </c>
      <c r="B2" s="43" t="s">
        <v>217</v>
      </c>
      <c r="C2" s="43" t="s">
        <v>218</v>
      </c>
      <c r="D2" s="43" t="s">
        <v>219</v>
      </c>
    </row>
    <row r="3" spans="1:4" x14ac:dyDescent="0.25">
      <c r="A3" s="38" t="s">
        <v>6</v>
      </c>
      <c r="B3" s="38">
        <v>38</v>
      </c>
      <c r="C3" s="38">
        <v>5</v>
      </c>
      <c r="D3" s="38" t="str">
        <f>IF(AND(B3&gt;21,C3&gt;=1),"Eligible","Not Eligible")</f>
        <v>Eligible</v>
      </c>
    </row>
    <row r="4" spans="1:4" x14ac:dyDescent="0.25">
      <c r="A4" s="38" t="s">
        <v>9</v>
      </c>
      <c r="B4" s="38">
        <v>33</v>
      </c>
      <c r="C4" s="38">
        <v>4</v>
      </c>
      <c r="D4" s="38" t="str">
        <f t="shared" ref="D4:D22" si="0">IF(AND(B4&gt;21,C4&gt;=1),"Eligible","Not Eligible")</f>
        <v>Eligible</v>
      </c>
    </row>
    <row r="5" spans="1:4" x14ac:dyDescent="0.25">
      <c r="A5" s="38" t="s">
        <v>12</v>
      </c>
      <c r="B5" s="38">
        <v>36</v>
      </c>
      <c r="C5" s="38">
        <v>6</v>
      </c>
      <c r="D5" s="38" t="str">
        <f t="shared" si="0"/>
        <v>Eligible</v>
      </c>
    </row>
    <row r="6" spans="1:4" x14ac:dyDescent="0.25">
      <c r="A6" s="38" t="s">
        <v>14</v>
      </c>
      <c r="B6" s="38">
        <v>33</v>
      </c>
      <c r="C6" s="38">
        <v>5</v>
      </c>
      <c r="D6" s="38" t="str">
        <f t="shared" si="0"/>
        <v>Eligible</v>
      </c>
    </row>
    <row r="7" spans="1:4" x14ac:dyDescent="0.25">
      <c r="A7" s="38" t="s">
        <v>16</v>
      </c>
      <c r="B7" s="38">
        <v>27</v>
      </c>
      <c r="C7" s="38">
        <v>1</v>
      </c>
      <c r="D7" s="38" t="str">
        <f t="shared" si="0"/>
        <v>Eligible</v>
      </c>
    </row>
    <row r="8" spans="1:4" x14ac:dyDescent="0.25">
      <c r="A8" s="38" t="s">
        <v>32</v>
      </c>
      <c r="B8" s="38">
        <v>28</v>
      </c>
      <c r="C8" s="38">
        <v>0</v>
      </c>
      <c r="D8" s="38" t="str">
        <f t="shared" si="0"/>
        <v>Not Eligible</v>
      </c>
    </row>
    <row r="9" spans="1:4" x14ac:dyDescent="0.25">
      <c r="A9" s="38" t="s">
        <v>33</v>
      </c>
      <c r="B9" s="38">
        <v>23</v>
      </c>
      <c r="C9" s="38">
        <v>2</v>
      </c>
      <c r="D9" s="38" t="str">
        <f t="shared" si="0"/>
        <v>Eligible</v>
      </c>
    </row>
    <row r="10" spans="1:4" x14ac:dyDescent="0.25">
      <c r="A10" s="38" t="s">
        <v>34</v>
      </c>
      <c r="B10" s="38">
        <v>32</v>
      </c>
      <c r="C10" s="38">
        <v>6</v>
      </c>
      <c r="D10" s="38" t="str">
        <f t="shared" si="0"/>
        <v>Eligible</v>
      </c>
    </row>
    <row r="11" spans="1:4" x14ac:dyDescent="0.25">
      <c r="A11" s="38" t="s">
        <v>35</v>
      </c>
      <c r="B11" s="38">
        <v>33</v>
      </c>
      <c r="C11" s="38">
        <v>4</v>
      </c>
      <c r="D11" s="38" t="str">
        <f t="shared" si="0"/>
        <v>Eligible</v>
      </c>
    </row>
    <row r="12" spans="1:4" x14ac:dyDescent="0.25">
      <c r="A12" s="38" t="s">
        <v>36</v>
      </c>
      <c r="B12" s="38">
        <v>34</v>
      </c>
      <c r="C12" s="38">
        <v>4</v>
      </c>
      <c r="D12" s="38" t="str">
        <f t="shared" si="0"/>
        <v>Eligible</v>
      </c>
    </row>
    <row r="13" spans="1:4" x14ac:dyDescent="0.25">
      <c r="A13" s="38" t="s">
        <v>37</v>
      </c>
      <c r="B13" s="38">
        <v>31</v>
      </c>
      <c r="C13" s="38">
        <v>0</v>
      </c>
      <c r="D13" s="38" t="str">
        <f t="shared" si="0"/>
        <v>Not Eligible</v>
      </c>
    </row>
    <row r="14" spans="1:4" x14ac:dyDescent="0.25">
      <c r="A14" s="38" t="s">
        <v>38</v>
      </c>
      <c r="B14" s="38">
        <v>34</v>
      </c>
      <c r="C14" s="38">
        <v>0</v>
      </c>
      <c r="D14" s="38" t="str">
        <f t="shared" si="0"/>
        <v>Not Eligible</v>
      </c>
    </row>
    <row r="15" spans="1:4" x14ac:dyDescent="0.25">
      <c r="A15" s="38" t="s">
        <v>39</v>
      </c>
      <c r="B15" s="38">
        <v>39</v>
      </c>
      <c r="C15" s="38">
        <v>0</v>
      </c>
      <c r="D15" s="38" t="str">
        <f t="shared" si="0"/>
        <v>Not Eligible</v>
      </c>
    </row>
    <row r="16" spans="1:4" x14ac:dyDescent="0.25">
      <c r="A16" s="38" t="s">
        <v>40</v>
      </c>
      <c r="B16" s="38">
        <v>26</v>
      </c>
      <c r="C16" s="38">
        <v>1</v>
      </c>
      <c r="D16" s="38" t="str">
        <f t="shared" si="0"/>
        <v>Eligible</v>
      </c>
    </row>
    <row r="17" spans="1:4" x14ac:dyDescent="0.25">
      <c r="A17" s="38" t="s">
        <v>41</v>
      </c>
      <c r="B17" s="38">
        <v>26</v>
      </c>
      <c r="C17" s="38">
        <v>1</v>
      </c>
      <c r="D17" s="38" t="str">
        <f t="shared" si="0"/>
        <v>Eligible</v>
      </c>
    </row>
    <row r="18" spans="1:4" x14ac:dyDescent="0.25">
      <c r="A18" s="38" t="s">
        <v>42</v>
      </c>
      <c r="B18" s="38">
        <v>38</v>
      </c>
      <c r="C18" s="38">
        <v>0</v>
      </c>
      <c r="D18" s="38" t="str">
        <f t="shared" si="0"/>
        <v>Not Eligible</v>
      </c>
    </row>
    <row r="19" spans="1:4" x14ac:dyDescent="0.25">
      <c r="A19" s="38" t="s">
        <v>43</v>
      </c>
      <c r="B19" s="38">
        <v>25</v>
      </c>
      <c r="C19" s="38">
        <v>0</v>
      </c>
      <c r="D19" s="38" t="str">
        <f t="shared" si="0"/>
        <v>Not Eligible</v>
      </c>
    </row>
    <row r="20" spans="1:4" x14ac:dyDescent="0.25">
      <c r="A20" s="38" t="s">
        <v>44</v>
      </c>
      <c r="B20" s="38">
        <v>29</v>
      </c>
      <c r="C20" s="38">
        <v>0</v>
      </c>
      <c r="D20" s="38" t="str">
        <f t="shared" si="0"/>
        <v>Not Eligible</v>
      </c>
    </row>
    <row r="21" spans="1:4" x14ac:dyDescent="0.25">
      <c r="A21" s="38" t="s">
        <v>45</v>
      </c>
      <c r="B21" s="38">
        <v>25</v>
      </c>
      <c r="C21" s="38">
        <v>3</v>
      </c>
      <c r="D21" s="38" t="str">
        <f t="shared" si="0"/>
        <v>Eligible</v>
      </c>
    </row>
    <row r="22" spans="1:4" x14ac:dyDescent="0.25">
      <c r="A22" s="38" t="s">
        <v>46</v>
      </c>
      <c r="B22" s="38">
        <v>33</v>
      </c>
      <c r="C22" s="38">
        <v>2</v>
      </c>
      <c r="D22" s="38" t="str">
        <f t="shared" si="0"/>
        <v>Eligible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4CCEC-5E96-4B7C-B658-0365A7AFB75A}">
  <dimension ref="A1:D22"/>
  <sheetViews>
    <sheetView workbookViewId="0">
      <selection activeCell="F8" sqref="F8"/>
    </sheetView>
  </sheetViews>
  <sheetFormatPr defaultRowHeight="15" x14ac:dyDescent="0.25"/>
  <cols>
    <col min="1" max="1" width="18.28515625" bestFit="1" customWidth="1"/>
    <col min="2" max="2" width="13.42578125" bestFit="1" customWidth="1"/>
    <col min="3" max="3" width="21.5703125" bestFit="1" customWidth="1"/>
    <col min="4" max="4" width="11.85546875" bestFit="1" customWidth="1"/>
  </cols>
  <sheetData>
    <row r="1" spans="1:4" x14ac:dyDescent="0.25">
      <c r="A1" s="55" t="s">
        <v>221</v>
      </c>
      <c r="B1" s="59"/>
      <c r="C1" s="59"/>
      <c r="D1" s="59"/>
    </row>
    <row r="2" spans="1:4" x14ac:dyDescent="0.25">
      <c r="A2" s="43" t="s">
        <v>66</v>
      </c>
      <c r="B2" s="43" t="s">
        <v>182</v>
      </c>
      <c r="C2" s="43" t="s">
        <v>220</v>
      </c>
      <c r="D2" s="43" t="s">
        <v>219</v>
      </c>
    </row>
    <row r="3" spans="1:4" x14ac:dyDescent="0.25">
      <c r="A3" s="38" t="s">
        <v>6</v>
      </c>
      <c r="B3" s="38">
        <v>30</v>
      </c>
      <c r="C3" s="38" t="s">
        <v>227</v>
      </c>
      <c r="D3" s="38" t="str">
        <f>IF(AND(B3&gt;=75,C3="Yes"),"Eligible","Not Eliigible")</f>
        <v>Not Eliigible</v>
      </c>
    </row>
    <row r="4" spans="1:4" x14ac:dyDescent="0.25">
      <c r="A4" s="38" t="s">
        <v>9</v>
      </c>
      <c r="B4" s="38">
        <v>57</v>
      </c>
      <c r="C4" s="38" t="s">
        <v>226</v>
      </c>
      <c r="D4" s="38" t="str">
        <f t="shared" ref="D4:D22" si="0">IF(AND(B4&gt;=75,C4="Yes"),"Eligible","Not Eliigible")</f>
        <v>Not Eliigible</v>
      </c>
    </row>
    <row r="5" spans="1:4" x14ac:dyDescent="0.25">
      <c r="A5" s="38" t="s">
        <v>12</v>
      </c>
      <c r="B5" s="38">
        <v>35</v>
      </c>
      <c r="C5" s="38" t="s">
        <v>226</v>
      </c>
      <c r="D5" s="38" t="str">
        <f t="shared" si="0"/>
        <v>Not Eliigible</v>
      </c>
    </row>
    <row r="6" spans="1:4" x14ac:dyDescent="0.25">
      <c r="A6" s="38" t="s">
        <v>14</v>
      </c>
      <c r="B6" s="38">
        <v>64</v>
      </c>
      <c r="C6" s="38" t="s">
        <v>227</v>
      </c>
      <c r="D6" s="38" t="str">
        <f t="shared" si="0"/>
        <v>Not Eliigible</v>
      </c>
    </row>
    <row r="7" spans="1:4" x14ac:dyDescent="0.25">
      <c r="A7" s="38" t="s">
        <v>16</v>
      </c>
      <c r="B7" s="38">
        <v>24</v>
      </c>
      <c r="C7" s="38" t="s">
        <v>226</v>
      </c>
      <c r="D7" s="38" t="str">
        <f t="shared" si="0"/>
        <v>Not Eliigible</v>
      </c>
    </row>
    <row r="8" spans="1:4" x14ac:dyDescent="0.25">
      <c r="A8" s="38" t="s">
        <v>32</v>
      </c>
      <c r="B8" s="38">
        <v>29</v>
      </c>
      <c r="C8" s="38" t="s">
        <v>227</v>
      </c>
      <c r="D8" s="38" t="str">
        <f t="shared" si="0"/>
        <v>Not Eliigible</v>
      </c>
    </row>
    <row r="9" spans="1:4" x14ac:dyDescent="0.25">
      <c r="A9" s="38" t="s">
        <v>33</v>
      </c>
      <c r="B9" s="38">
        <v>53</v>
      </c>
      <c r="C9" s="38" t="s">
        <v>227</v>
      </c>
      <c r="D9" s="38" t="str">
        <f t="shared" si="0"/>
        <v>Not Eliigible</v>
      </c>
    </row>
    <row r="10" spans="1:4" x14ac:dyDescent="0.25">
      <c r="A10" s="38" t="s">
        <v>34</v>
      </c>
      <c r="B10" s="38">
        <v>42</v>
      </c>
      <c r="C10" s="38" t="s">
        <v>227</v>
      </c>
      <c r="D10" s="38" t="str">
        <f t="shared" si="0"/>
        <v>Not Eliigible</v>
      </c>
    </row>
    <row r="11" spans="1:4" x14ac:dyDescent="0.25">
      <c r="A11" s="38" t="s">
        <v>35</v>
      </c>
      <c r="B11" s="38">
        <v>31</v>
      </c>
      <c r="C11" s="38" t="s">
        <v>227</v>
      </c>
      <c r="D11" s="38" t="str">
        <f t="shared" si="0"/>
        <v>Not Eliigible</v>
      </c>
    </row>
    <row r="12" spans="1:4" x14ac:dyDescent="0.25">
      <c r="A12" s="38" t="s">
        <v>36</v>
      </c>
      <c r="B12" s="38">
        <v>48</v>
      </c>
      <c r="C12" s="38" t="s">
        <v>226</v>
      </c>
      <c r="D12" s="38" t="str">
        <f t="shared" si="0"/>
        <v>Not Eliigible</v>
      </c>
    </row>
    <row r="13" spans="1:4" x14ac:dyDescent="0.25">
      <c r="A13" s="38" t="s">
        <v>37</v>
      </c>
      <c r="B13" s="38">
        <v>78</v>
      </c>
      <c r="C13" s="38" t="s">
        <v>227</v>
      </c>
      <c r="D13" s="38" t="str">
        <f t="shared" si="0"/>
        <v>Eligible</v>
      </c>
    </row>
    <row r="14" spans="1:4" x14ac:dyDescent="0.25">
      <c r="A14" s="38" t="s">
        <v>38</v>
      </c>
      <c r="B14" s="38">
        <v>28</v>
      </c>
      <c r="C14" s="38" t="s">
        <v>227</v>
      </c>
      <c r="D14" s="38" t="str">
        <f t="shared" si="0"/>
        <v>Not Eliigible</v>
      </c>
    </row>
    <row r="15" spans="1:4" x14ac:dyDescent="0.25">
      <c r="A15" s="38" t="s">
        <v>39</v>
      </c>
      <c r="B15" s="38">
        <v>30</v>
      </c>
      <c r="C15" s="38" t="s">
        <v>226</v>
      </c>
      <c r="D15" s="38" t="str">
        <f t="shared" si="0"/>
        <v>Not Eliigible</v>
      </c>
    </row>
    <row r="16" spans="1:4" x14ac:dyDescent="0.25">
      <c r="A16" s="38" t="s">
        <v>40</v>
      </c>
      <c r="B16" s="38">
        <v>80</v>
      </c>
      <c r="C16" s="38" t="s">
        <v>227</v>
      </c>
      <c r="D16" s="38" t="str">
        <f t="shared" si="0"/>
        <v>Eligible</v>
      </c>
    </row>
    <row r="17" spans="1:4" x14ac:dyDescent="0.25">
      <c r="A17" s="38" t="s">
        <v>41</v>
      </c>
      <c r="B17" s="38">
        <v>60</v>
      </c>
      <c r="C17" s="38" t="s">
        <v>226</v>
      </c>
      <c r="D17" s="38" t="str">
        <f t="shared" si="0"/>
        <v>Not Eliigible</v>
      </c>
    </row>
    <row r="18" spans="1:4" x14ac:dyDescent="0.25">
      <c r="A18" s="38" t="s">
        <v>42</v>
      </c>
      <c r="B18" s="38">
        <v>94</v>
      </c>
      <c r="C18" s="38" t="s">
        <v>226</v>
      </c>
      <c r="D18" s="38" t="str">
        <f t="shared" si="0"/>
        <v>Not Eliigible</v>
      </c>
    </row>
    <row r="19" spans="1:4" x14ac:dyDescent="0.25">
      <c r="A19" s="38" t="s">
        <v>43</v>
      </c>
      <c r="B19" s="38">
        <v>53</v>
      </c>
      <c r="C19" s="38" t="s">
        <v>226</v>
      </c>
      <c r="D19" s="38" t="str">
        <f t="shared" si="0"/>
        <v>Not Eliigible</v>
      </c>
    </row>
    <row r="20" spans="1:4" x14ac:dyDescent="0.25">
      <c r="A20" s="38" t="s">
        <v>44</v>
      </c>
      <c r="B20" s="38">
        <v>60</v>
      </c>
      <c r="C20" s="38" t="s">
        <v>226</v>
      </c>
      <c r="D20" s="38" t="str">
        <f t="shared" si="0"/>
        <v>Not Eliigible</v>
      </c>
    </row>
    <row r="21" spans="1:4" x14ac:dyDescent="0.25">
      <c r="A21" s="38" t="s">
        <v>45</v>
      </c>
      <c r="B21" s="38">
        <v>22</v>
      </c>
      <c r="C21" s="38" t="s">
        <v>227</v>
      </c>
      <c r="D21" s="38" t="str">
        <f t="shared" si="0"/>
        <v>Not Eliigible</v>
      </c>
    </row>
    <row r="22" spans="1:4" x14ac:dyDescent="0.25">
      <c r="A22" s="38" t="s">
        <v>46</v>
      </c>
      <c r="B22" s="38">
        <v>51</v>
      </c>
      <c r="C22" s="38" t="s">
        <v>227</v>
      </c>
      <c r="D22" s="38" t="str">
        <f t="shared" si="0"/>
        <v>Not Eliigible</v>
      </c>
    </row>
  </sheetData>
  <mergeCells count="1">
    <mergeCell ref="A1:D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A0BAB-5647-41F8-B7B9-429963493A92}">
  <dimension ref="A2:D22"/>
  <sheetViews>
    <sheetView workbookViewId="0">
      <selection activeCell="B3" sqref="B3:B22"/>
    </sheetView>
  </sheetViews>
  <sheetFormatPr defaultRowHeight="15" x14ac:dyDescent="0.25"/>
  <cols>
    <col min="1" max="1" width="16" bestFit="1" customWidth="1"/>
    <col min="2" max="2" width="16.7109375" bestFit="1" customWidth="1"/>
    <col min="3" max="3" width="12.42578125" bestFit="1" customWidth="1"/>
    <col min="4" max="4" width="11.7109375" bestFit="1" customWidth="1"/>
  </cols>
  <sheetData>
    <row r="2" spans="1:4" x14ac:dyDescent="0.25">
      <c r="A2" s="43" t="s">
        <v>222</v>
      </c>
      <c r="B2" s="43" t="s">
        <v>223</v>
      </c>
      <c r="C2" s="43" t="s">
        <v>224</v>
      </c>
      <c r="D2" s="43" t="s">
        <v>225</v>
      </c>
    </row>
    <row r="3" spans="1:4" x14ac:dyDescent="0.25">
      <c r="A3" s="38" t="s">
        <v>195</v>
      </c>
      <c r="B3" s="38">
        <v>43376</v>
      </c>
      <c r="C3" s="38" t="s">
        <v>226</v>
      </c>
      <c r="D3" s="38" t="s">
        <v>225</v>
      </c>
    </row>
    <row r="4" spans="1:4" x14ac:dyDescent="0.25">
      <c r="A4" s="38" t="s">
        <v>196</v>
      </c>
      <c r="B4" s="38">
        <v>18791</v>
      </c>
      <c r="C4" s="38" t="s">
        <v>226</v>
      </c>
      <c r="D4" s="38" t="s">
        <v>225</v>
      </c>
    </row>
    <row r="5" spans="1:4" x14ac:dyDescent="0.25">
      <c r="A5" s="38" t="s">
        <v>197</v>
      </c>
      <c r="B5" s="38">
        <v>25549</v>
      </c>
      <c r="C5" s="38" t="s">
        <v>226</v>
      </c>
      <c r="D5" s="38" t="s">
        <v>225</v>
      </c>
    </row>
    <row r="6" spans="1:4" x14ac:dyDescent="0.25">
      <c r="A6" s="38" t="s">
        <v>198</v>
      </c>
      <c r="B6" s="38">
        <v>10806</v>
      </c>
      <c r="C6" s="38" t="s">
        <v>226</v>
      </c>
      <c r="D6" s="38" t="s">
        <v>225</v>
      </c>
    </row>
    <row r="7" spans="1:4" x14ac:dyDescent="0.25">
      <c r="A7" s="38" t="s">
        <v>199</v>
      </c>
      <c r="B7" s="38">
        <v>23014</v>
      </c>
      <c r="C7" s="38" t="s">
        <v>227</v>
      </c>
      <c r="D7" s="38" t="s">
        <v>225</v>
      </c>
    </row>
    <row r="8" spans="1:4" x14ac:dyDescent="0.25">
      <c r="A8" s="38" t="s">
        <v>200</v>
      </c>
      <c r="B8" s="38">
        <v>6395</v>
      </c>
      <c r="C8" s="38" t="s">
        <v>226</v>
      </c>
      <c r="D8" s="38" t="s">
        <v>228</v>
      </c>
    </row>
    <row r="9" spans="1:4" x14ac:dyDescent="0.25">
      <c r="A9" s="38" t="s">
        <v>201</v>
      </c>
      <c r="B9" s="38">
        <v>44288</v>
      </c>
      <c r="C9" s="38" t="s">
        <v>226</v>
      </c>
      <c r="D9" s="38" t="s">
        <v>225</v>
      </c>
    </row>
    <row r="10" spans="1:4" x14ac:dyDescent="0.25">
      <c r="A10" s="38" t="s">
        <v>202</v>
      </c>
      <c r="B10" s="38">
        <v>11710</v>
      </c>
      <c r="C10" s="38" t="s">
        <v>227</v>
      </c>
      <c r="D10" s="38" t="s">
        <v>225</v>
      </c>
    </row>
    <row r="11" spans="1:4" x14ac:dyDescent="0.25">
      <c r="A11" s="38" t="s">
        <v>203</v>
      </c>
      <c r="B11" s="38">
        <v>17439</v>
      </c>
      <c r="C11" s="38" t="s">
        <v>226</v>
      </c>
      <c r="D11" s="38" t="s">
        <v>225</v>
      </c>
    </row>
    <row r="12" spans="1:4" x14ac:dyDescent="0.25">
      <c r="A12" s="38" t="s">
        <v>204</v>
      </c>
      <c r="B12" s="38">
        <v>48739</v>
      </c>
      <c r="C12" s="38" t="s">
        <v>227</v>
      </c>
      <c r="D12" s="38" t="s">
        <v>225</v>
      </c>
    </row>
    <row r="13" spans="1:4" x14ac:dyDescent="0.25">
      <c r="A13" s="38" t="s">
        <v>205</v>
      </c>
      <c r="B13" s="38">
        <v>11685</v>
      </c>
      <c r="C13" s="38" t="s">
        <v>227</v>
      </c>
      <c r="D13" s="38" t="s">
        <v>225</v>
      </c>
    </row>
    <row r="14" spans="1:4" x14ac:dyDescent="0.25">
      <c r="A14" s="38" t="s">
        <v>206</v>
      </c>
      <c r="B14" s="38">
        <v>28741</v>
      </c>
      <c r="C14" s="38" t="s">
        <v>227</v>
      </c>
      <c r="D14" s="38" t="s">
        <v>225</v>
      </c>
    </row>
    <row r="15" spans="1:4" x14ac:dyDescent="0.25">
      <c r="A15" s="38" t="s">
        <v>207</v>
      </c>
      <c r="B15" s="38">
        <v>18312</v>
      </c>
      <c r="C15" s="38" t="s">
        <v>226</v>
      </c>
      <c r="D15" s="38" t="s">
        <v>225</v>
      </c>
    </row>
    <row r="16" spans="1:4" x14ac:dyDescent="0.25">
      <c r="A16" s="38" t="s">
        <v>208</v>
      </c>
      <c r="B16" s="38">
        <v>9275</v>
      </c>
      <c r="C16" s="38" t="s">
        <v>226</v>
      </c>
      <c r="D16" s="38" t="s">
        <v>228</v>
      </c>
    </row>
    <row r="17" spans="1:4" x14ac:dyDescent="0.25">
      <c r="A17" s="38" t="s">
        <v>209</v>
      </c>
      <c r="B17" s="38">
        <v>22051</v>
      </c>
      <c r="C17" s="38" t="s">
        <v>226</v>
      </c>
      <c r="D17" s="38" t="s">
        <v>225</v>
      </c>
    </row>
    <row r="18" spans="1:4" x14ac:dyDescent="0.25">
      <c r="A18" s="38" t="s">
        <v>210</v>
      </c>
      <c r="B18" s="38">
        <v>21399</v>
      </c>
      <c r="C18" s="38" t="s">
        <v>227</v>
      </c>
      <c r="D18" s="38" t="s">
        <v>225</v>
      </c>
    </row>
    <row r="19" spans="1:4" x14ac:dyDescent="0.25">
      <c r="A19" s="38" t="s">
        <v>211</v>
      </c>
      <c r="B19" s="38">
        <v>45082</v>
      </c>
      <c r="C19" s="38" t="s">
        <v>227</v>
      </c>
      <c r="D19" s="38" t="s">
        <v>225</v>
      </c>
    </row>
    <row r="20" spans="1:4" x14ac:dyDescent="0.25">
      <c r="A20" s="38" t="s">
        <v>212</v>
      </c>
      <c r="B20" s="38">
        <v>33820</v>
      </c>
      <c r="C20" s="38" t="s">
        <v>226</v>
      </c>
      <c r="D20" s="38" t="s">
        <v>225</v>
      </c>
    </row>
    <row r="21" spans="1:4" x14ac:dyDescent="0.25">
      <c r="A21" s="38" t="s">
        <v>213</v>
      </c>
      <c r="B21" s="38">
        <v>44928</v>
      </c>
      <c r="C21" s="38" t="s">
        <v>227</v>
      </c>
      <c r="D21" s="38" t="s">
        <v>225</v>
      </c>
    </row>
    <row r="22" spans="1:4" x14ac:dyDescent="0.25">
      <c r="A22" s="38" t="s">
        <v>214</v>
      </c>
      <c r="B22" s="38">
        <v>38914</v>
      </c>
      <c r="C22" s="38" t="s">
        <v>227</v>
      </c>
      <c r="D22" s="38" t="s">
        <v>225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1C976-7A73-4F41-A8E3-818E30E3A4BC}">
  <dimension ref="A2:D22"/>
  <sheetViews>
    <sheetView workbookViewId="0">
      <selection activeCell="A3" sqref="A3:A22"/>
    </sheetView>
  </sheetViews>
  <sheetFormatPr defaultRowHeight="15" x14ac:dyDescent="0.25"/>
  <cols>
    <col min="1" max="1" width="16" bestFit="1" customWidth="1"/>
    <col min="2" max="2" width="6.28515625" bestFit="1" customWidth="1"/>
    <col min="3" max="3" width="10.5703125" bestFit="1" customWidth="1"/>
    <col min="4" max="4" width="13.5703125" bestFit="1" customWidth="1"/>
  </cols>
  <sheetData>
    <row r="2" spans="1:4" x14ac:dyDescent="0.25">
      <c r="A2" s="43" t="s">
        <v>229</v>
      </c>
      <c r="B2" s="43" t="s">
        <v>3</v>
      </c>
      <c r="C2" s="43" t="s">
        <v>230</v>
      </c>
      <c r="D2" s="43" t="s">
        <v>231</v>
      </c>
    </row>
    <row r="3" spans="1:4" x14ac:dyDescent="0.25">
      <c r="A3" s="38" t="s">
        <v>195</v>
      </c>
      <c r="B3" s="38">
        <v>43376</v>
      </c>
      <c r="C3" s="38">
        <v>727</v>
      </c>
      <c r="D3" s="38" t="str">
        <f>IF(OR(B3&gt;40000,C3&gt;=700),"Approved","Not Approved")</f>
        <v>Approved</v>
      </c>
    </row>
    <row r="4" spans="1:4" x14ac:dyDescent="0.25">
      <c r="A4" s="38" t="s">
        <v>196</v>
      </c>
      <c r="B4" s="38">
        <v>18791</v>
      </c>
      <c r="C4" s="38">
        <v>617</v>
      </c>
      <c r="D4" s="38" t="str">
        <f t="shared" ref="D4:D22" si="0">IF(OR(B4&gt;40000,C4&gt;=700),"Approved","Not Approved")</f>
        <v>Not Approved</v>
      </c>
    </row>
    <row r="5" spans="1:4" x14ac:dyDescent="0.25">
      <c r="A5" s="38" t="s">
        <v>197</v>
      </c>
      <c r="B5" s="38">
        <v>25549</v>
      </c>
      <c r="C5" s="38">
        <v>701</v>
      </c>
      <c r="D5" s="38" t="str">
        <f t="shared" si="0"/>
        <v>Approved</v>
      </c>
    </row>
    <row r="6" spans="1:4" x14ac:dyDescent="0.25">
      <c r="A6" s="38" t="s">
        <v>198</v>
      </c>
      <c r="B6" s="38">
        <v>10806</v>
      </c>
      <c r="C6" s="38">
        <v>724</v>
      </c>
      <c r="D6" s="38" t="str">
        <f t="shared" si="0"/>
        <v>Approved</v>
      </c>
    </row>
    <row r="7" spans="1:4" x14ac:dyDescent="0.25">
      <c r="A7" s="38" t="s">
        <v>199</v>
      </c>
      <c r="B7" s="38">
        <v>23014</v>
      </c>
      <c r="C7" s="38">
        <v>718</v>
      </c>
      <c r="D7" s="38" t="str">
        <f t="shared" si="0"/>
        <v>Approved</v>
      </c>
    </row>
    <row r="8" spans="1:4" x14ac:dyDescent="0.25">
      <c r="A8" s="38" t="s">
        <v>200</v>
      </c>
      <c r="B8" s="38">
        <v>6395</v>
      </c>
      <c r="C8" s="38">
        <v>755</v>
      </c>
      <c r="D8" s="38" t="str">
        <f t="shared" si="0"/>
        <v>Approved</v>
      </c>
    </row>
    <row r="9" spans="1:4" x14ac:dyDescent="0.25">
      <c r="A9" s="38" t="s">
        <v>201</v>
      </c>
      <c r="B9" s="38">
        <v>44288</v>
      </c>
      <c r="C9" s="38">
        <v>738</v>
      </c>
      <c r="D9" s="38" t="str">
        <f t="shared" si="0"/>
        <v>Approved</v>
      </c>
    </row>
    <row r="10" spans="1:4" x14ac:dyDescent="0.25">
      <c r="A10" s="38" t="s">
        <v>202</v>
      </c>
      <c r="B10" s="38">
        <v>11710</v>
      </c>
      <c r="C10" s="38">
        <v>744</v>
      </c>
      <c r="D10" s="38" t="str">
        <f t="shared" si="0"/>
        <v>Approved</v>
      </c>
    </row>
    <row r="11" spans="1:4" x14ac:dyDescent="0.25">
      <c r="A11" s="38" t="s">
        <v>203</v>
      </c>
      <c r="B11" s="38">
        <v>17439</v>
      </c>
      <c r="C11" s="38">
        <v>779</v>
      </c>
      <c r="D11" s="38" t="str">
        <f t="shared" si="0"/>
        <v>Approved</v>
      </c>
    </row>
    <row r="12" spans="1:4" x14ac:dyDescent="0.25">
      <c r="A12" s="38" t="s">
        <v>204</v>
      </c>
      <c r="B12" s="38">
        <v>48739</v>
      </c>
      <c r="C12" s="38">
        <v>666</v>
      </c>
      <c r="D12" s="38" t="str">
        <f t="shared" si="0"/>
        <v>Approved</v>
      </c>
    </row>
    <row r="13" spans="1:4" x14ac:dyDescent="0.25">
      <c r="A13" s="38" t="s">
        <v>205</v>
      </c>
      <c r="B13" s="38">
        <v>11685</v>
      </c>
      <c r="C13" s="38">
        <v>708</v>
      </c>
      <c r="D13" s="38" t="str">
        <f t="shared" si="0"/>
        <v>Approved</v>
      </c>
    </row>
    <row r="14" spans="1:4" x14ac:dyDescent="0.25">
      <c r="A14" s="38" t="s">
        <v>206</v>
      </c>
      <c r="B14" s="38">
        <v>28741</v>
      </c>
      <c r="C14" s="38">
        <v>600</v>
      </c>
      <c r="D14" s="38" t="str">
        <f t="shared" si="0"/>
        <v>Not Approved</v>
      </c>
    </row>
    <row r="15" spans="1:4" x14ac:dyDescent="0.25">
      <c r="A15" s="38" t="s">
        <v>207</v>
      </c>
      <c r="B15" s="38">
        <v>18312</v>
      </c>
      <c r="C15" s="38">
        <v>759</v>
      </c>
      <c r="D15" s="38" t="str">
        <f t="shared" si="0"/>
        <v>Approved</v>
      </c>
    </row>
    <row r="16" spans="1:4" x14ac:dyDescent="0.25">
      <c r="A16" s="38" t="s">
        <v>208</v>
      </c>
      <c r="B16" s="38">
        <v>9275</v>
      </c>
      <c r="C16" s="38">
        <v>703</v>
      </c>
      <c r="D16" s="38" t="str">
        <f t="shared" si="0"/>
        <v>Approved</v>
      </c>
    </row>
    <row r="17" spans="1:4" x14ac:dyDescent="0.25">
      <c r="A17" s="38" t="s">
        <v>209</v>
      </c>
      <c r="B17" s="38">
        <v>22051</v>
      </c>
      <c r="C17" s="38">
        <v>660</v>
      </c>
      <c r="D17" s="38" t="str">
        <f t="shared" si="0"/>
        <v>Not Approved</v>
      </c>
    </row>
    <row r="18" spans="1:4" x14ac:dyDescent="0.25">
      <c r="A18" s="38" t="s">
        <v>210</v>
      </c>
      <c r="B18" s="38">
        <v>21399</v>
      </c>
      <c r="C18" s="38">
        <v>704</v>
      </c>
      <c r="D18" s="38" t="str">
        <f t="shared" si="0"/>
        <v>Approved</v>
      </c>
    </row>
    <row r="19" spans="1:4" x14ac:dyDescent="0.25">
      <c r="A19" s="38" t="s">
        <v>211</v>
      </c>
      <c r="B19" s="38">
        <v>45082</v>
      </c>
      <c r="C19" s="38">
        <v>786</v>
      </c>
      <c r="D19" s="38" t="str">
        <f t="shared" si="0"/>
        <v>Approved</v>
      </c>
    </row>
    <row r="20" spans="1:4" x14ac:dyDescent="0.25">
      <c r="A20" s="38" t="s">
        <v>212</v>
      </c>
      <c r="B20" s="38">
        <v>33820</v>
      </c>
      <c r="C20" s="38">
        <v>661</v>
      </c>
      <c r="D20" s="38" t="str">
        <f t="shared" si="0"/>
        <v>Not Approved</v>
      </c>
    </row>
    <row r="21" spans="1:4" x14ac:dyDescent="0.25">
      <c r="A21" s="38" t="s">
        <v>213</v>
      </c>
      <c r="B21" s="38">
        <v>44928</v>
      </c>
      <c r="C21" s="38">
        <v>713</v>
      </c>
      <c r="D21" s="38" t="str">
        <f t="shared" si="0"/>
        <v>Approved</v>
      </c>
    </row>
    <row r="22" spans="1:4" x14ac:dyDescent="0.25">
      <c r="A22" s="38" t="s">
        <v>214</v>
      </c>
      <c r="B22" s="38">
        <v>38914</v>
      </c>
      <c r="C22" s="38">
        <v>619</v>
      </c>
      <c r="D22" s="38" t="str">
        <f t="shared" si="0"/>
        <v>Not Approved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D66E1-E774-4B2C-A9FE-22C895D8D2E8}">
  <dimension ref="A2:C22"/>
  <sheetViews>
    <sheetView workbookViewId="0">
      <selection activeCell="A3" sqref="A3:A22"/>
    </sheetView>
  </sheetViews>
  <sheetFormatPr defaultRowHeight="15" x14ac:dyDescent="0.25"/>
  <cols>
    <col min="1" max="1" width="16" bestFit="1" customWidth="1"/>
    <col min="2" max="3" width="7.85546875" bestFit="1" customWidth="1"/>
  </cols>
  <sheetData>
    <row r="2" spans="1:3" x14ac:dyDescent="0.25">
      <c r="A2" s="43" t="s">
        <v>1</v>
      </c>
      <c r="B2" s="43" t="s">
        <v>232</v>
      </c>
      <c r="C2" s="43" t="s">
        <v>233</v>
      </c>
    </row>
    <row r="3" spans="1:3" x14ac:dyDescent="0.25">
      <c r="A3" s="38" t="s">
        <v>195</v>
      </c>
      <c r="B3" s="38" t="b">
        <v>0</v>
      </c>
      <c r="C3" s="38" t="s">
        <v>234</v>
      </c>
    </row>
    <row r="4" spans="1:3" x14ac:dyDescent="0.25">
      <c r="A4" s="38" t="s">
        <v>196</v>
      </c>
      <c r="B4" s="38" t="b">
        <v>0</v>
      </c>
      <c r="C4" s="38" t="s">
        <v>234</v>
      </c>
    </row>
    <row r="5" spans="1:3" x14ac:dyDescent="0.25">
      <c r="A5" s="38" t="s">
        <v>197</v>
      </c>
      <c r="B5" s="38" t="b">
        <v>1</v>
      </c>
      <c r="C5" s="38" t="s">
        <v>232</v>
      </c>
    </row>
    <row r="6" spans="1:3" x14ac:dyDescent="0.25">
      <c r="A6" s="38" t="s">
        <v>198</v>
      </c>
      <c r="B6" s="38" t="b">
        <v>1</v>
      </c>
      <c r="C6" s="38" t="s">
        <v>232</v>
      </c>
    </row>
    <row r="7" spans="1:3" x14ac:dyDescent="0.25">
      <c r="A7" s="38" t="s">
        <v>199</v>
      </c>
      <c r="B7" s="38" t="b">
        <v>0</v>
      </c>
      <c r="C7" s="38" t="s">
        <v>234</v>
      </c>
    </row>
    <row r="8" spans="1:3" x14ac:dyDescent="0.25">
      <c r="A8" s="38" t="s">
        <v>200</v>
      </c>
      <c r="B8" s="38" t="b">
        <v>1</v>
      </c>
      <c r="C8" s="38" t="s">
        <v>232</v>
      </c>
    </row>
    <row r="9" spans="1:3" x14ac:dyDescent="0.25">
      <c r="A9" s="38" t="s">
        <v>201</v>
      </c>
      <c r="B9" s="38" t="b">
        <v>1</v>
      </c>
      <c r="C9" s="38" t="s">
        <v>232</v>
      </c>
    </row>
    <row r="10" spans="1:3" x14ac:dyDescent="0.25">
      <c r="A10" s="38" t="s">
        <v>202</v>
      </c>
      <c r="B10" s="38" t="b">
        <v>0</v>
      </c>
      <c r="C10" s="38" t="s">
        <v>234</v>
      </c>
    </row>
    <row r="11" spans="1:3" x14ac:dyDescent="0.25">
      <c r="A11" s="38" t="s">
        <v>203</v>
      </c>
      <c r="B11" s="38" t="b">
        <v>1</v>
      </c>
      <c r="C11" s="38" t="s">
        <v>232</v>
      </c>
    </row>
    <row r="12" spans="1:3" x14ac:dyDescent="0.25">
      <c r="A12" s="38" t="s">
        <v>204</v>
      </c>
      <c r="B12" s="38" t="b">
        <v>1</v>
      </c>
      <c r="C12" s="38" t="s">
        <v>232</v>
      </c>
    </row>
    <row r="13" spans="1:3" x14ac:dyDescent="0.25">
      <c r="A13" s="38" t="s">
        <v>205</v>
      </c>
      <c r="B13" s="38" t="b">
        <v>0</v>
      </c>
      <c r="C13" s="38" t="s">
        <v>234</v>
      </c>
    </row>
    <row r="14" spans="1:3" x14ac:dyDescent="0.25">
      <c r="A14" s="38" t="s">
        <v>206</v>
      </c>
      <c r="B14" s="38" t="b">
        <v>0</v>
      </c>
      <c r="C14" s="38" t="s">
        <v>234</v>
      </c>
    </row>
    <row r="15" spans="1:3" x14ac:dyDescent="0.25">
      <c r="A15" s="38" t="s">
        <v>207</v>
      </c>
      <c r="B15" s="38" t="b">
        <v>0</v>
      </c>
      <c r="C15" s="38" t="s">
        <v>234</v>
      </c>
    </row>
    <row r="16" spans="1:3" x14ac:dyDescent="0.25">
      <c r="A16" s="38" t="s">
        <v>208</v>
      </c>
      <c r="B16" s="38" t="b">
        <v>0</v>
      </c>
      <c r="C16" s="38" t="s">
        <v>234</v>
      </c>
    </row>
    <row r="17" spans="1:3" x14ac:dyDescent="0.25">
      <c r="A17" s="38" t="s">
        <v>209</v>
      </c>
      <c r="B17" s="38" t="b">
        <v>0</v>
      </c>
      <c r="C17" s="38" t="s">
        <v>234</v>
      </c>
    </row>
    <row r="18" spans="1:3" x14ac:dyDescent="0.25">
      <c r="A18" s="38" t="s">
        <v>210</v>
      </c>
      <c r="B18" s="38" t="b">
        <v>1</v>
      </c>
      <c r="C18" s="38" t="s">
        <v>232</v>
      </c>
    </row>
    <row r="19" spans="1:3" x14ac:dyDescent="0.25">
      <c r="A19" s="38" t="s">
        <v>211</v>
      </c>
      <c r="B19" s="38" t="b">
        <v>0</v>
      </c>
      <c r="C19" s="38" t="s">
        <v>234</v>
      </c>
    </row>
    <row r="20" spans="1:3" x14ac:dyDescent="0.25">
      <c r="A20" s="38" t="s">
        <v>212</v>
      </c>
      <c r="B20" s="38" t="b">
        <v>1</v>
      </c>
      <c r="C20" s="38" t="s">
        <v>232</v>
      </c>
    </row>
    <row r="21" spans="1:3" x14ac:dyDescent="0.25">
      <c r="A21" s="38" t="s">
        <v>213</v>
      </c>
      <c r="B21" s="38" t="b">
        <v>1</v>
      </c>
      <c r="C21" s="38" t="s">
        <v>232</v>
      </c>
    </row>
    <row r="22" spans="1:3" x14ac:dyDescent="0.25">
      <c r="A22" s="38" t="s">
        <v>214</v>
      </c>
      <c r="B22" s="38" t="b">
        <v>0</v>
      </c>
      <c r="C22" s="38" t="s">
        <v>234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FD9D4-E5C4-479F-BB15-CE55F2F6602E}">
  <dimension ref="A2:C23"/>
  <sheetViews>
    <sheetView tabSelected="1" workbookViewId="0">
      <selection activeCell="C3" sqref="C3"/>
    </sheetView>
  </sheetViews>
  <sheetFormatPr defaultRowHeight="15" x14ac:dyDescent="0.25"/>
  <cols>
    <col min="1" max="2" width="9.7109375" bestFit="1" customWidth="1"/>
    <col min="3" max="3" width="12" bestFit="1" customWidth="1"/>
  </cols>
  <sheetData>
    <row r="2" spans="1:3" x14ac:dyDescent="0.25">
      <c r="A2" s="43" t="s">
        <v>235</v>
      </c>
      <c r="B2" s="43" t="s">
        <v>236</v>
      </c>
      <c r="C2" s="43" t="s">
        <v>192</v>
      </c>
    </row>
    <row r="3" spans="1:3" x14ac:dyDescent="0.25">
      <c r="A3" s="38">
        <v>14</v>
      </c>
      <c r="B3" s="38">
        <v>17</v>
      </c>
      <c r="C3" s="44">
        <f>IFERROR(A3/B3,"Invalid")</f>
        <v>0.82352941176470584</v>
      </c>
    </row>
    <row r="4" spans="1:3" x14ac:dyDescent="0.25">
      <c r="A4" s="38">
        <v>8</v>
      </c>
      <c r="B4" s="38">
        <v>46</v>
      </c>
      <c r="C4" s="44">
        <f t="shared" ref="C4:C23" si="0">IFERROR(A4/B4,"Invalid")</f>
        <v>0.17391304347826086</v>
      </c>
    </row>
    <row r="5" spans="1:3" x14ac:dyDescent="0.25">
      <c r="A5" s="38">
        <v>9</v>
      </c>
      <c r="B5" s="38">
        <v>20</v>
      </c>
      <c r="C5" s="44">
        <f t="shared" si="0"/>
        <v>0.45</v>
      </c>
    </row>
    <row r="6" spans="1:3" x14ac:dyDescent="0.25">
      <c r="A6" s="38">
        <v>40</v>
      </c>
      <c r="B6" s="38">
        <v>43</v>
      </c>
      <c r="C6" s="44">
        <f t="shared" si="0"/>
        <v>0.93023255813953487</v>
      </c>
    </row>
    <row r="7" spans="1:3" x14ac:dyDescent="0.25">
      <c r="A7" s="38">
        <v>42</v>
      </c>
      <c r="B7" s="38">
        <v>48</v>
      </c>
      <c r="C7" s="44">
        <f t="shared" si="0"/>
        <v>0.875</v>
      </c>
    </row>
    <row r="8" spans="1:3" x14ac:dyDescent="0.25">
      <c r="A8" s="38">
        <v>38</v>
      </c>
      <c r="B8" s="38">
        <v>10</v>
      </c>
      <c r="C8" s="44">
        <f t="shared" si="0"/>
        <v>3.8</v>
      </c>
    </row>
    <row r="9" spans="1:3" x14ac:dyDescent="0.25">
      <c r="A9" s="38">
        <v>13</v>
      </c>
      <c r="B9" s="38">
        <v>20</v>
      </c>
      <c r="C9" s="44">
        <f t="shared" si="0"/>
        <v>0.65</v>
      </c>
    </row>
    <row r="10" spans="1:3" x14ac:dyDescent="0.25">
      <c r="A10" s="38">
        <v>5</v>
      </c>
      <c r="B10" s="38">
        <v>0</v>
      </c>
      <c r="C10" s="44" t="str">
        <f t="shared" si="0"/>
        <v>Invalid</v>
      </c>
    </row>
    <row r="11" spans="1:3" x14ac:dyDescent="0.25">
      <c r="A11" s="38">
        <v>41</v>
      </c>
      <c r="B11" s="38">
        <v>9</v>
      </c>
      <c r="C11" s="44">
        <f t="shared" si="0"/>
        <v>4.5555555555555554</v>
      </c>
    </row>
    <row r="12" spans="1:3" x14ac:dyDescent="0.25">
      <c r="A12" s="38">
        <v>1</v>
      </c>
      <c r="B12" s="38">
        <v>22</v>
      </c>
      <c r="C12" s="44">
        <f t="shared" si="0"/>
        <v>4.5454545454545456E-2</v>
      </c>
    </row>
    <row r="13" spans="1:3" x14ac:dyDescent="0.25">
      <c r="A13" s="38">
        <v>26</v>
      </c>
      <c r="B13" s="38">
        <v>22</v>
      </c>
      <c r="C13" s="44">
        <f t="shared" si="0"/>
        <v>1.1818181818181819</v>
      </c>
    </row>
    <row r="14" spans="1:3" x14ac:dyDescent="0.25">
      <c r="A14" s="38">
        <v>49</v>
      </c>
      <c r="B14" s="38">
        <v>18</v>
      </c>
      <c r="C14" s="44">
        <f t="shared" si="0"/>
        <v>2.7222222222222223</v>
      </c>
    </row>
    <row r="15" spans="1:3" x14ac:dyDescent="0.25">
      <c r="A15" s="38">
        <v>35</v>
      </c>
      <c r="B15" s="38">
        <v>0</v>
      </c>
      <c r="C15" s="44" t="str">
        <f t="shared" si="0"/>
        <v>Invalid</v>
      </c>
    </row>
    <row r="16" spans="1:3" x14ac:dyDescent="0.25">
      <c r="A16" s="38">
        <v>19</v>
      </c>
      <c r="B16" s="38">
        <v>30</v>
      </c>
      <c r="C16" s="44">
        <f t="shared" si="0"/>
        <v>0.6333333333333333</v>
      </c>
    </row>
    <row r="17" spans="1:3" x14ac:dyDescent="0.25">
      <c r="A17" s="38">
        <v>34</v>
      </c>
      <c r="B17" s="38">
        <v>27</v>
      </c>
      <c r="C17" s="44">
        <f t="shared" si="0"/>
        <v>1.2592592592592593</v>
      </c>
    </row>
    <row r="18" spans="1:3" x14ac:dyDescent="0.25">
      <c r="A18" s="38">
        <v>28</v>
      </c>
      <c r="B18" s="38">
        <v>2</v>
      </c>
      <c r="C18" s="44">
        <f t="shared" si="0"/>
        <v>14</v>
      </c>
    </row>
    <row r="19" spans="1:3" x14ac:dyDescent="0.25">
      <c r="A19" s="38">
        <v>5</v>
      </c>
      <c r="B19" s="38">
        <v>33</v>
      </c>
      <c r="C19" s="44">
        <f t="shared" si="0"/>
        <v>0.15151515151515152</v>
      </c>
    </row>
    <row r="20" spans="1:3" x14ac:dyDescent="0.25">
      <c r="A20" s="38">
        <v>35</v>
      </c>
      <c r="B20" s="38">
        <v>9</v>
      </c>
      <c r="C20" s="44">
        <f t="shared" si="0"/>
        <v>3.8888888888888888</v>
      </c>
    </row>
    <row r="21" spans="1:3" x14ac:dyDescent="0.25">
      <c r="A21" s="38">
        <v>31</v>
      </c>
      <c r="B21" s="38">
        <v>20</v>
      </c>
      <c r="C21" s="44">
        <f t="shared" si="0"/>
        <v>1.55</v>
      </c>
    </row>
    <row r="22" spans="1:3" x14ac:dyDescent="0.25">
      <c r="A22" s="38">
        <v>7</v>
      </c>
      <c r="B22" s="38">
        <v>0</v>
      </c>
      <c r="C22" s="44" t="str">
        <f t="shared" si="0"/>
        <v>Invalid</v>
      </c>
    </row>
    <row r="23" spans="1:3" x14ac:dyDescent="0.25">
      <c r="A23" s="38">
        <v>4</v>
      </c>
      <c r="B23" s="38">
        <v>40</v>
      </c>
      <c r="C23" s="44">
        <f t="shared" si="0"/>
        <v>0.1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A591B-1E6A-4357-82C0-BBAB7B9A707D}">
  <dimension ref="A1:D22"/>
  <sheetViews>
    <sheetView workbookViewId="0">
      <selection activeCell="K13" sqref="K13"/>
    </sheetView>
  </sheetViews>
  <sheetFormatPr defaultRowHeight="15" x14ac:dyDescent="0.25"/>
  <cols>
    <col min="1" max="2" width="16" bestFit="1" customWidth="1"/>
    <col min="3" max="3" width="13.42578125" bestFit="1" customWidth="1"/>
    <col min="4" max="4" width="19.5703125" bestFit="1" customWidth="1"/>
  </cols>
  <sheetData>
    <row r="1" spans="1:4" x14ac:dyDescent="0.25">
      <c r="A1" s="55" t="s">
        <v>238</v>
      </c>
      <c r="B1" s="55"/>
      <c r="C1" s="55"/>
      <c r="D1" s="55"/>
    </row>
    <row r="2" spans="1:4" x14ac:dyDescent="0.25">
      <c r="A2" s="43" t="s">
        <v>102</v>
      </c>
      <c r="B2" s="43" t="s">
        <v>237</v>
      </c>
      <c r="C2" s="43" t="s">
        <v>182</v>
      </c>
      <c r="D2" s="43" t="s">
        <v>183</v>
      </c>
    </row>
    <row r="3" spans="1:4" x14ac:dyDescent="0.25">
      <c r="A3" s="38" t="s">
        <v>195</v>
      </c>
      <c r="B3" s="38">
        <v>36</v>
      </c>
      <c r="C3" s="38">
        <v>72</v>
      </c>
      <c r="D3" s="38" t="str">
        <f>IF(AND(C3&gt;=90,B3&gt;=40),"EXCELLENT",IF(C3&gt;=80,"Good","Needs Improvement"))</f>
        <v>Needs Improvement</v>
      </c>
    </row>
    <row r="4" spans="1:4" x14ac:dyDescent="0.25">
      <c r="A4" s="38" t="s">
        <v>196</v>
      </c>
      <c r="B4" s="38">
        <v>30</v>
      </c>
      <c r="C4" s="38">
        <v>94</v>
      </c>
      <c r="D4" s="38" t="str">
        <f t="shared" ref="D4:D22" si="0">IF(AND(C4&gt;=90,B4&gt;=40),"EXCELLENT",IF(C4&gt;=80,"Good","Needs Improvement"))</f>
        <v>Good</v>
      </c>
    </row>
    <row r="5" spans="1:4" x14ac:dyDescent="0.25">
      <c r="A5" s="38" t="s">
        <v>197</v>
      </c>
      <c r="B5" s="38">
        <v>54</v>
      </c>
      <c r="C5" s="38">
        <v>73</v>
      </c>
      <c r="D5" s="38" t="str">
        <f t="shared" si="0"/>
        <v>Needs Improvement</v>
      </c>
    </row>
    <row r="6" spans="1:4" x14ac:dyDescent="0.25">
      <c r="A6" s="38" t="s">
        <v>198</v>
      </c>
      <c r="B6" s="38">
        <v>39</v>
      </c>
      <c r="C6" s="38">
        <v>80</v>
      </c>
      <c r="D6" s="38" t="str">
        <f t="shared" si="0"/>
        <v>Good</v>
      </c>
    </row>
    <row r="7" spans="1:4" x14ac:dyDescent="0.25">
      <c r="A7" s="38" t="s">
        <v>199</v>
      </c>
      <c r="B7" s="38">
        <v>35</v>
      </c>
      <c r="C7" s="38">
        <v>80</v>
      </c>
      <c r="D7" s="38" t="str">
        <f t="shared" si="0"/>
        <v>Good</v>
      </c>
    </row>
    <row r="8" spans="1:4" x14ac:dyDescent="0.25">
      <c r="A8" s="38" t="s">
        <v>200</v>
      </c>
      <c r="B8" s="38">
        <v>50</v>
      </c>
      <c r="C8" s="38">
        <v>86</v>
      </c>
      <c r="D8" s="38" t="str">
        <f t="shared" si="0"/>
        <v>Good</v>
      </c>
    </row>
    <row r="9" spans="1:4" x14ac:dyDescent="0.25">
      <c r="A9" s="38" t="s">
        <v>201</v>
      </c>
      <c r="B9" s="38">
        <v>54</v>
      </c>
      <c r="C9" s="38">
        <v>78</v>
      </c>
      <c r="D9" s="38" t="str">
        <f t="shared" si="0"/>
        <v>Needs Improvement</v>
      </c>
    </row>
    <row r="10" spans="1:4" x14ac:dyDescent="0.25">
      <c r="A10" s="38" t="s">
        <v>202</v>
      </c>
      <c r="B10" s="38">
        <v>49</v>
      </c>
      <c r="C10" s="38">
        <v>99</v>
      </c>
      <c r="D10" s="38" t="str">
        <f t="shared" si="0"/>
        <v>EXCELLENT</v>
      </c>
    </row>
    <row r="11" spans="1:4" x14ac:dyDescent="0.25">
      <c r="A11" s="38" t="s">
        <v>203</v>
      </c>
      <c r="B11" s="38">
        <v>38</v>
      </c>
      <c r="C11" s="38">
        <v>65</v>
      </c>
      <c r="D11" s="38" t="str">
        <f t="shared" si="0"/>
        <v>Needs Improvement</v>
      </c>
    </row>
    <row r="12" spans="1:4" x14ac:dyDescent="0.25">
      <c r="A12" s="38" t="s">
        <v>204</v>
      </c>
      <c r="B12" s="38">
        <v>51</v>
      </c>
      <c r="C12" s="38">
        <v>83</v>
      </c>
      <c r="D12" s="38" t="str">
        <f t="shared" si="0"/>
        <v>Good</v>
      </c>
    </row>
    <row r="13" spans="1:4" x14ac:dyDescent="0.25">
      <c r="A13" s="38" t="s">
        <v>205</v>
      </c>
      <c r="B13" s="38">
        <v>53</v>
      </c>
      <c r="C13" s="38">
        <v>73</v>
      </c>
      <c r="D13" s="38" t="str">
        <f t="shared" si="0"/>
        <v>Needs Improvement</v>
      </c>
    </row>
    <row r="14" spans="1:4" x14ac:dyDescent="0.25">
      <c r="A14" s="38" t="s">
        <v>206</v>
      </c>
      <c r="B14" s="38">
        <v>27</v>
      </c>
      <c r="C14" s="38">
        <v>91</v>
      </c>
      <c r="D14" s="38" t="str">
        <f t="shared" si="0"/>
        <v>Good</v>
      </c>
    </row>
    <row r="15" spans="1:4" x14ac:dyDescent="0.25">
      <c r="A15" s="38" t="s">
        <v>207</v>
      </c>
      <c r="B15" s="38">
        <v>23</v>
      </c>
      <c r="C15" s="38">
        <v>88</v>
      </c>
      <c r="D15" s="38" t="str">
        <f t="shared" si="0"/>
        <v>Good</v>
      </c>
    </row>
    <row r="16" spans="1:4" x14ac:dyDescent="0.25">
      <c r="A16" s="38" t="s">
        <v>208</v>
      </c>
      <c r="B16" s="38">
        <v>20</v>
      </c>
      <c r="C16" s="38">
        <v>61</v>
      </c>
      <c r="D16" s="38" t="str">
        <f t="shared" si="0"/>
        <v>Needs Improvement</v>
      </c>
    </row>
    <row r="17" spans="1:4" x14ac:dyDescent="0.25">
      <c r="A17" s="38" t="s">
        <v>209</v>
      </c>
      <c r="B17" s="38">
        <v>35</v>
      </c>
      <c r="C17" s="38">
        <v>42</v>
      </c>
      <c r="D17" s="38" t="str">
        <f t="shared" si="0"/>
        <v>Needs Improvement</v>
      </c>
    </row>
    <row r="18" spans="1:4" x14ac:dyDescent="0.25">
      <c r="A18" s="38" t="s">
        <v>210</v>
      </c>
      <c r="B18" s="38">
        <v>60</v>
      </c>
      <c r="C18" s="38">
        <v>81</v>
      </c>
      <c r="D18" s="38" t="str">
        <f t="shared" si="0"/>
        <v>Good</v>
      </c>
    </row>
    <row r="19" spans="1:4" x14ac:dyDescent="0.25">
      <c r="A19" s="38" t="s">
        <v>211</v>
      </c>
      <c r="B19" s="38">
        <v>51</v>
      </c>
      <c r="C19" s="38">
        <v>97</v>
      </c>
      <c r="D19" s="38" t="str">
        <f t="shared" si="0"/>
        <v>EXCELLENT</v>
      </c>
    </row>
    <row r="20" spans="1:4" x14ac:dyDescent="0.25">
      <c r="A20" s="38" t="s">
        <v>212</v>
      </c>
      <c r="B20" s="38">
        <v>57</v>
      </c>
      <c r="C20" s="38">
        <v>49</v>
      </c>
      <c r="D20" s="38" t="str">
        <f t="shared" si="0"/>
        <v>Needs Improvement</v>
      </c>
    </row>
    <row r="21" spans="1:4" x14ac:dyDescent="0.25">
      <c r="A21" s="38" t="s">
        <v>213</v>
      </c>
      <c r="B21" s="38">
        <v>38</v>
      </c>
      <c r="C21" s="38">
        <v>45</v>
      </c>
      <c r="D21" s="38" t="str">
        <f t="shared" si="0"/>
        <v>Needs Improvement</v>
      </c>
    </row>
    <row r="22" spans="1:4" x14ac:dyDescent="0.25">
      <c r="A22" s="38" t="s">
        <v>214</v>
      </c>
      <c r="B22" s="38">
        <v>40</v>
      </c>
      <c r="C22" s="38">
        <v>80</v>
      </c>
      <c r="D22" s="38" t="str">
        <f t="shared" si="0"/>
        <v>Good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Sheet23</vt:lpstr>
      <vt:lpstr>Sheet16</vt:lpstr>
      <vt:lpstr>Sheet17</vt:lpstr>
      <vt:lpstr>Sheet18</vt:lpstr>
      <vt:lpstr>Sheet19</vt:lpstr>
      <vt:lpstr>Sheet20</vt:lpstr>
      <vt:lpstr>Sheet21</vt:lpstr>
      <vt:lpstr>Sheet22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ASDC24</dc:creator>
  <cp:lastModifiedBy>ASDC24</cp:lastModifiedBy>
  <dcterms:created xsi:type="dcterms:W3CDTF">2026-04-19T10:35:29Z</dcterms:created>
  <dcterms:modified xsi:type="dcterms:W3CDTF">2026-05-03T09:45:04Z</dcterms:modified>
</cp:coreProperties>
</file>